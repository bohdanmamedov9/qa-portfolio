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Bogdan\Downloads\"/>
    </mc:Choice>
  </mc:AlternateContent>
  <xr:revisionPtr revIDLastSave="0" documentId="13_ncr:1_{A6632815-F1A9-4AC2-A53C-BA0F921BBFA6}" xr6:coauthVersionLast="47" xr6:coauthVersionMax="47" xr10:uidLastSave="{00000000-0000-0000-0000-000000000000}"/>
  <bookViews>
    <workbookView xWindow="-120" yWindow="-120" windowWidth="29040" windowHeight="16440" activeTab="3" xr2:uid="{00000000-000D-0000-FFFF-FFFF00000000}"/>
  </bookViews>
  <sheets>
    <sheet name="Data" sheetId="1" r:id="rId1"/>
    <sheet name="Test Plan" sheetId="3" r:id="rId2"/>
    <sheet name="Checklist" sheetId="4" r:id="rId3"/>
    <sheet name="Test Cases" sheetId="5" r:id="rId4"/>
    <sheet name="Bug Reports" sheetId="6" r:id="rId5"/>
    <sheet name="Regression" sheetId="7" r:id="rId6"/>
    <sheet name="Test Summary" sheetId="8" r:id="rId7"/>
  </sheets>
  <calcPr calcId="181029"/>
</workbook>
</file>

<file path=xl/calcChain.xml><?xml version="1.0" encoding="utf-8"?>
<calcChain xmlns="http://schemas.openxmlformats.org/spreadsheetml/2006/main">
  <c r="E16" i="8" l="1"/>
  <c r="E15" i="8"/>
  <c r="D14" i="8"/>
  <c r="C14" i="8"/>
  <c r="B14" i="8"/>
  <c r="D13" i="8"/>
  <c r="C13" i="8"/>
  <c r="B13" i="8"/>
  <c r="D12" i="8"/>
  <c r="C12" i="8"/>
  <c r="B12" i="8"/>
  <c r="D11" i="8"/>
  <c r="C11" i="8"/>
  <c r="B11" i="8"/>
  <c r="E10" i="8"/>
  <c r="D10" i="8"/>
  <c r="C10" i="8"/>
  <c r="B10" i="8"/>
</calcChain>
</file>

<file path=xl/sharedStrings.xml><?xml version="1.0" encoding="utf-8"?>
<sst xmlns="http://schemas.openxmlformats.org/spreadsheetml/2006/main" count="954" uniqueCount="469">
  <si>
    <t>Status</t>
  </si>
  <si>
    <t>Priority</t>
  </si>
  <si>
    <t>Severity</t>
  </si>
  <si>
    <t>Module</t>
  </si>
  <si>
    <t>Not Run</t>
  </si>
  <si>
    <t>High</t>
  </si>
  <si>
    <t>Critical</t>
  </si>
  <si>
    <t>Login</t>
  </si>
  <si>
    <t>Passed</t>
  </si>
  <si>
    <t>Medium</t>
  </si>
  <si>
    <t>Logout</t>
  </si>
  <si>
    <t>Failed</t>
  </si>
  <si>
    <t>Low</t>
  </si>
  <si>
    <t>Session</t>
  </si>
  <si>
    <t>Blocked</t>
  </si>
  <si>
    <t>Catalog</t>
  </si>
  <si>
    <t>N/A</t>
  </si>
  <si>
    <t>Trivial</t>
  </si>
  <si>
    <t>Search</t>
  </si>
  <si>
    <t>Filters</t>
  </si>
  <si>
    <t>Sorting</t>
  </si>
  <si>
    <t>Product Details</t>
  </si>
  <si>
    <t>Cart</t>
  </si>
  <si>
    <t>Checkout</t>
  </si>
  <si>
    <t>Validation</t>
  </si>
  <si>
    <t>Responsive</t>
  </si>
  <si>
    <t>Browser Behavior</t>
  </si>
  <si>
    <t>Accessibility</t>
  </si>
  <si>
    <t>Security</t>
  </si>
  <si>
    <t>API</t>
  </si>
  <si>
    <t>Checklist</t>
  </si>
  <si>
    <t>Section</t>
  </si>
  <si>
    <t>Content</t>
  </si>
  <si>
    <t>Project Name</t>
  </si>
  <si>
    <t>Manual Testing of a Web Marketplace Application</t>
  </si>
  <si>
    <t>Application Under Test</t>
  </si>
  <si>
    <t>Tester</t>
  </si>
  <si>
    <t>Bohdan Mamedov</t>
  </si>
  <si>
    <t>Project Overview</t>
  </si>
  <si>
    <t>This project focuses on manual testing of a marketplace-style web application. The goal is to verify key user flows, identify functional issues, and create clear QA documentation.</t>
  </si>
  <si>
    <t>Scope of Testing</t>
  </si>
  <si>
    <t>Out of Scope</t>
  </si>
  <si>
    <t>Real payment transactions, performance testing, security penetration testing, backend/database testing, and automation testing.</t>
  </si>
  <si>
    <t>Testing Types</t>
  </si>
  <si>
    <t>Test Environment</t>
  </si>
  <si>
    <t>Entry Criteria</t>
  </si>
  <si>
    <t>Application is accessible; main user flows are available; test data is prepared; browser/device setup is ready.</t>
  </si>
  <si>
    <t>Exit Criteria</t>
  </si>
  <si>
    <t>Main test cases are executed; critical/major defects are documented; regression checklist is completed; test summary report is prepared.</t>
  </si>
  <si>
    <t>Risks</t>
  </si>
  <si>
    <t>Some functionality may be limited on demo websites; real payment testing may not be possible; some defects may be environment-specific.</t>
  </si>
  <si>
    <t>Deliverables</t>
  </si>
  <si>
    <t>Test Plan, Functional Checklist, Test Cases, Bug Reports, Regression Checklist, Test Summary Report.</t>
  </si>
  <si>
    <t>ID</t>
  </si>
  <si>
    <t>Check</t>
  </si>
  <si>
    <t>Environment</t>
  </si>
  <si>
    <t>Notes</t>
  </si>
  <si>
    <t>CH-001</t>
  </si>
  <si>
    <t>Verify that login page opens correctly</t>
  </si>
  <si>
    <t>Windows 11 / Chrome</t>
  </si>
  <si>
    <t>CH-002</t>
  </si>
  <si>
    <t>Verify login with valid credentials</t>
  </si>
  <si>
    <t>CH-003</t>
  </si>
  <si>
    <t>Verify error message for empty email/username field</t>
  </si>
  <si>
    <t>CH-004</t>
  </si>
  <si>
    <t>Verify error message for empty password field</t>
  </si>
  <si>
    <t>CH-005</t>
  </si>
  <si>
    <t>Verify error message for wrong password</t>
  </si>
  <si>
    <t>CH-006</t>
  </si>
  <si>
    <t>Verify that password is hidden by default</t>
  </si>
  <si>
    <t>CH-007</t>
  </si>
  <si>
    <t>Verify case sensitivity for username/email when applicable</t>
  </si>
  <si>
    <t>CH-008</t>
  </si>
  <si>
    <t>Verify special characters in username/password fields</t>
  </si>
  <si>
    <t>CH-009</t>
  </si>
  <si>
    <t>Verify that user can log out successfully</t>
  </si>
  <si>
    <t>CH-010</t>
  </si>
  <si>
    <t>Verify that user cannot access account/cart pages after logout using browser Back button</t>
  </si>
  <si>
    <t>CH-011</t>
  </si>
  <si>
    <t>Verify that page refresh keeps user logged in when session is active</t>
  </si>
  <si>
    <t>CH-012</t>
  </si>
  <si>
    <t>Verify that product/resource catalog opens correctly</t>
  </si>
  <si>
    <t>CH-013</t>
  </si>
  <si>
    <t>Verify that product/resource cards display title, image, and price/status</t>
  </si>
  <si>
    <t>CH-014</t>
  </si>
  <si>
    <t>Verify that product/resource list does not show broken images</t>
  </si>
  <si>
    <t>CH-015</t>
  </si>
  <si>
    <t>Verify that catalog pagination or infinite scroll works if available</t>
  </si>
  <si>
    <t>CH-016</t>
  </si>
  <si>
    <t>Verify that search returns relevant results for valid keyword</t>
  </si>
  <si>
    <t>CH-017</t>
  </si>
  <si>
    <t>Verify search with no matching results</t>
  </si>
  <si>
    <t>CH-018</t>
  </si>
  <si>
    <t>Verify search with special characters</t>
  </si>
  <si>
    <t>CH-019</t>
  </si>
  <si>
    <t>Verify search field trimming for leading/trailing spaces</t>
  </si>
  <si>
    <t>CH-020</t>
  </si>
  <si>
    <t>Verify search result count/message if available</t>
  </si>
  <si>
    <t>CH-021</t>
  </si>
  <si>
    <t>Verify applying one filter updates results correctly</t>
  </si>
  <si>
    <t>CH-022</t>
  </si>
  <si>
    <t>Verify applying multiple filters updates results correctly</t>
  </si>
  <si>
    <t>CH-023</t>
  </si>
  <si>
    <t>Verify removing filters restores broader results</t>
  </si>
  <si>
    <t>CH-024</t>
  </si>
  <si>
    <t>Verify filter state after page refresh if applicable</t>
  </si>
  <si>
    <t>CH-025</t>
  </si>
  <si>
    <t>Verify no-results state after restrictive filters</t>
  </si>
  <si>
    <t>CH-026</t>
  </si>
  <si>
    <t>Verify sorting by price/name/relevance if available</t>
  </si>
  <si>
    <t>CH-027</t>
  </si>
  <si>
    <t>Verify sorting remains consistent after pagination or page reload</t>
  </si>
  <si>
    <t>CH-028</t>
  </si>
  <si>
    <t>Verify product/resource details page opens from catalog</t>
  </si>
  <si>
    <t>CH-029</t>
  </si>
  <si>
    <t>Verify title, description, price, preview/image, and metadata are shown</t>
  </si>
  <si>
    <t>CH-030</t>
  </si>
  <si>
    <t>Verify broken/missing preview is handled correctly</t>
  </si>
  <si>
    <t>CH-031</t>
  </si>
  <si>
    <t>Verify navigation back to catalog preserves context if applicable</t>
  </si>
  <si>
    <t>CH-032</t>
  </si>
  <si>
    <t>Verify adding one item to cart</t>
  </si>
  <si>
    <t>CH-033</t>
  </si>
  <si>
    <t>Verify cart counter updates after adding item</t>
  </si>
  <si>
    <t>CH-034</t>
  </si>
  <si>
    <t>Verify adding the same item twice is handled correctly</t>
  </si>
  <si>
    <t>CH-035</t>
  </si>
  <si>
    <t>Verify removing item from cart</t>
  </si>
  <si>
    <t>CH-036</t>
  </si>
  <si>
    <t>Verify cart total updates after changes</t>
  </si>
  <si>
    <t>CH-037</t>
  </si>
  <si>
    <t>Verify empty cart state</t>
  </si>
  <si>
    <t>CH-038</t>
  </si>
  <si>
    <t>Verify cart persists after page refresh if expected</t>
  </si>
  <si>
    <t>CH-039</t>
  </si>
  <si>
    <t>Verify checkout page opens from cart</t>
  </si>
  <si>
    <t>CH-040</t>
  </si>
  <si>
    <t>Verify required field validation on checkout form</t>
  </si>
  <si>
    <t>CH-041</t>
  </si>
  <si>
    <t>Verify valid checkout flow up to confirmation/last safe step</t>
  </si>
  <si>
    <t>CH-042</t>
  </si>
  <si>
    <t>Verify invalid email/phone/postal code validation if fields exist</t>
  </si>
  <si>
    <t>CH-043</t>
  </si>
  <si>
    <t>Verify checkout cannot be completed with empty cart</t>
  </si>
  <si>
    <t>CH-044</t>
  </si>
  <si>
    <t>Verify clear and user-friendly validation messages</t>
  </si>
  <si>
    <t>CH-045</t>
  </si>
  <si>
    <t>Verify validation messages disappear after correcting input</t>
  </si>
  <si>
    <t>CH-046</t>
  </si>
  <si>
    <t>Verify long text input does not break layout</t>
  </si>
  <si>
    <t>CH-047</t>
  </si>
  <si>
    <t>Verify browser Back button behavior after login</t>
  </si>
  <si>
    <t>CH-048</t>
  </si>
  <si>
    <t>Verify browser Back button behavior from checkout to cart</t>
  </si>
  <si>
    <t>CH-049</t>
  </si>
  <si>
    <t>Verify page refresh does not duplicate cart/order action</t>
  </si>
  <si>
    <t>CH-050</t>
  </si>
  <si>
    <t>Verify opening product details in new tab if supported</t>
  </si>
  <si>
    <t>CH-051</t>
  </si>
  <si>
    <t>Verify layout on mobile viewport 360x800</t>
  </si>
  <si>
    <t>CH-052</t>
  </si>
  <si>
    <t>Verify layout on tablet viewport 768x1024</t>
  </si>
  <si>
    <t>CH-053</t>
  </si>
  <si>
    <t>Verify navigation menu on mobile</t>
  </si>
  <si>
    <t>CH-054</t>
  </si>
  <si>
    <t>Verify forms are usable on mobile</t>
  </si>
  <si>
    <t>CH-055</t>
  </si>
  <si>
    <t>Verify no horizontal scrolling on mobile unless expected</t>
  </si>
  <si>
    <t>CH-056</t>
  </si>
  <si>
    <t>Verify buttons are large enough to tap on mobile</t>
  </si>
  <si>
    <t>CH-057</t>
  </si>
  <si>
    <t>Verify input fields have visible labels or placeholders</t>
  </si>
  <si>
    <t>CH-058</t>
  </si>
  <si>
    <t>Verify main buttons have clear readable text</t>
  </si>
  <si>
    <t>CH-059</t>
  </si>
  <si>
    <t>Verify keyboard Tab navigation through main form fields</t>
  </si>
  <si>
    <t>CH-060</t>
  </si>
  <si>
    <t>Verify error messages are visible and understandable</t>
  </si>
  <si>
    <t>CH-061</t>
  </si>
  <si>
    <t>Verify password is not visible in URL or page text</t>
  </si>
  <si>
    <t>CH-062</t>
  </si>
  <si>
    <t>Verify restricted pages require authentication</t>
  </si>
  <si>
    <t>CH-063</t>
  </si>
  <si>
    <t>Verify user cannot complete restricted action after logout</t>
  </si>
  <si>
    <t>CH-064</t>
  </si>
  <si>
    <t>Verify basic XSS-like input does not execute in text fields</t>
  </si>
  <si>
    <t>CH-065</t>
  </si>
  <si>
    <t>General UI</t>
  </si>
  <si>
    <t>Verify no obvious spelling mistakes in main user flows</t>
  </si>
  <si>
    <t>CH-066</t>
  </si>
  <si>
    <t>Verify important buttons have consistent labels</t>
  </si>
  <si>
    <t>Test Case ID</t>
  </si>
  <si>
    <t>Title</t>
  </si>
  <si>
    <t>Preconditions</t>
  </si>
  <si>
    <t>Test Data</t>
  </si>
  <si>
    <t>Steps</t>
  </si>
  <si>
    <t>Expected Result</t>
  </si>
  <si>
    <t>Actual Result</t>
  </si>
  <si>
    <t>TC-001</t>
  </si>
  <si>
    <t>Login with valid credentials</t>
  </si>
  <si>
    <t>User has a valid active account</t>
  </si>
  <si>
    <t>TC-002</t>
  </si>
  <si>
    <t>Login with empty password</t>
  </si>
  <si>
    <t>Login page is open</t>
  </si>
  <si>
    <t>A clear validation message is displayed and user is not logged in</t>
  </si>
  <si>
    <t>TC-003</t>
  </si>
  <si>
    <t>Login with wrong password</t>
  </si>
  <si>
    <t>Error message is displayed and user remains on login page</t>
  </si>
  <si>
    <t>TC-004</t>
  </si>
  <si>
    <t>Access restricted page after logout</t>
  </si>
  <si>
    <t>User is logged in and has opened a restricted page</t>
  </si>
  <si>
    <t>1. Log out
2. Click browser Back button
3. Refresh page if needed</t>
  </si>
  <si>
    <t>Restricted content is not accessible after logout</t>
  </si>
  <si>
    <t>TC-005</t>
  </si>
  <si>
    <t>Open catalog page</t>
  </si>
  <si>
    <t>Application is accessible</t>
  </si>
  <si>
    <t>TC-006</t>
  </si>
  <si>
    <t>Search by valid keyword</t>
  </si>
  <si>
    <t>Catalog page is open</t>
  </si>
  <si>
    <t>Keyword that should return results</t>
  </si>
  <si>
    <t>1. Enter valid keyword in search field
2. Submit search</t>
  </si>
  <si>
    <t>Relevant search results are displayed</t>
  </si>
  <si>
    <t>TC-007</t>
  </si>
  <si>
    <t>Search with no matching results</t>
  </si>
  <si>
    <t>Random unlikely keyword</t>
  </si>
  <si>
    <t>1. Enter unlikely keyword
2. Submit search</t>
  </si>
  <si>
    <t>No-results state is displayed clearly</t>
  </si>
  <si>
    <t>TC-008</t>
  </si>
  <si>
    <t>Apply category/subject filter</t>
  </si>
  <si>
    <t>Available filter value</t>
  </si>
  <si>
    <t>1. Select a filter
2. Observe result list</t>
  </si>
  <si>
    <t>Only relevant filtered results are displayed</t>
  </si>
  <si>
    <t>TC-009</t>
  </si>
  <si>
    <t>Clear selected filter</t>
  </si>
  <si>
    <t>A filter is applied</t>
  </si>
  <si>
    <t>Selected filter</t>
  </si>
  <si>
    <t>Filter is removed and results are updated</t>
  </si>
  <si>
    <t>TC-010</t>
  </si>
  <si>
    <t>Sort catalog results</t>
  </si>
  <si>
    <t>Available sorting option</t>
  </si>
  <si>
    <t>1. Open sorting dropdown
2. Select sorting option</t>
  </si>
  <si>
    <t>Results are reordered according to selected sorting option</t>
  </si>
  <si>
    <t>TC-011</t>
  </si>
  <si>
    <t>Catalog page has at least one item</t>
  </si>
  <si>
    <t>Any visible item</t>
  </si>
  <si>
    <t>1. Click an item card</t>
  </si>
  <si>
    <t>Details page opens and displays correct item information</t>
  </si>
  <si>
    <t>TC-012</t>
  </si>
  <si>
    <t>Add item to cart</t>
  </si>
  <si>
    <t>User can access catalog/product page</t>
  </si>
  <si>
    <t>Any available item</t>
  </si>
  <si>
    <t>1. Open item page
2. Click Add to cart</t>
  </si>
  <si>
    <t>Item is added to cart and cart counter/summary updates</t>
  </si>
  <si>
    <t>TC-013</t>
  </si>
  <si>
    <t>Remove item from cart</t>
  </si>
  <si>
    <t>Cart contains one item</t>
  </si>
  <si>
    <t>Item is removed and cart total updates</t>
  </si>
  <si>
    <t>TC-014</t>
  </si>
  <si>
    <t>Empty cart state</t>
  </si>
  <si>
    <t>Cart is empty</t>
  </si>
  <si>
    <t>1. Open cart with no items</t>
  </si>
  <si>
    <t>Clear empty cart message is displayed</t>
  </si>
  <si>
    <t>TC-015</t>
  </si>
  <si>
    <t>Proceed to checkout with item in cart</t>
  </si>
  <si>
    <t>Cart contains at least one item</t>
  </si>
  <si>
    <t>1. Open cart
2. Click Checkout</t>
  </si>
  <si>
    <t>Checkout page opens successfully</t>
  </si>
  <si>
    <t>TC-016</t>
  </si>
  <si>
    <t>Required field validation in checkout</t>
  </si>
  <si>
    <t>Checkout page is open</t>
  </si>
  <si>
    <t>Empty required fields</t>
  </si>
  <si>
    <t>1. Leave required fields empty
2. Click Continue/Submit</t>
  </si>
  <si>
    <t>Validation messages are shown for required fields</t>
  </si>
  <si>
    <t>TC-017</t>
  </si>
  <si>
    <t>Complete safe checkout flow</t>
  </si>
  <si>
    <t>Checkout page is open; no real payment required</t>
  </si>
  <si>
    <t>Valid checkout data</t>
  </si>
  <si>
    <t>1. Fill required fields
2. Continue to final safe confirmation step</t>
  </si>
  <si>
    <t>User reaches confirmation/final step without errors</t>
  </si>
  <si>
    <t>TC-018</t>
  </si>
  <si>
    <t>Verify mobile layout</t>
  </si>
  <si>
    <t>Application is open in browser DevTools</t>
  </si>
  <si>
    <t>Viewport 360x800</t>
  </si>
  <si>
    <t>1. Open DevTools
2. Switch to mobile viewport
3. Check main pages</t>
  </si>
  <si>
    <t>Layout is readable and usable without critical overlap or broken controls</t>
  </si>
  <si>
    <t>TC-019</t>
  </si>
  <si>
    <t>Keyboard navigation through login form</t>
  </si>
  <si>
    <t>Keyboard only</t>
  </si>
  <si>
    <t>1. Press Tab through fields and buttons
2. Press Enter on Login button</t>
  </si>
  <si>
    <t>Focus order is logical and form can be used with keyboard</t>
  </si>
  <si>
    <t>TC-020</t>
  </si>
  <si>
    <t>Basic script input in text field</t>
  </si>
  <si>
    <t>A text input/search field is available</t>
  </si>
  <si>
    <t>&lt;script&gt;alert(1)&lt;/script&gt;</t>
  </si>
  <si>
    <t>Input is treated as text or safely rejected; no script executes</t>
  </si>
  <si>
    <t>Bug ID</t>
  </si>
  <si>
    <t>Steps to Reproduce</t>
  </si>
  <si>
    <t>BR-001</t>
  </si>
  <si>
    <t>Open</t>
  </si>
  <si>
    <t>BR-002</t>
  </si>
  <si>
    <t>BR-003</t>
  </si>
  <si>
    <t>BR-004</t>
  </si>
  <si>
    <t>BR-005</t>
  </si>
  <si>
    <t>Area</t>
  </si>
  <si>
    <t>Scenario</t>
  </si>
  <si>
    <t>When to Run</t>
  </si>
  <si>
    <t>RG-001</t>
  </si>
  <si>
    <t>Valid user can log in</t>
  </si>
  <si>
    <t>Before each release</t>
  </si>
  <si>
    <t>RG-002</t>
  </si>
  <si>
    <t>Invalid login is rejected with clear error</t>
  </si>
  <si>
    <t>RG-003</t>
  </si>
  <si>
    <t>User can log out</t>
  </si>
  <si>
    <t>RG-004</t>
  </si>
  <si>
    <t>Restricted pages are not accessible after logout</t>
  </si>
  <si>
    <t>RG-005</t>
  </si>
  <si>
    <t>Catalog/resources page loads</t>
  </si>
  <si>
    <t>RG-006</t>
  </si>
  <si>
    <t>Search returns relevant results</t>
  </si>
  <si>
    <t>RG-007</t>
  </si>
  <si>
    <t>Main filters work correctly</t>
  </si>
  <si>
    <t>RG-008</t>
  </si>
  <si>
    <t>Sorting works correctly</t>
  </si>
  <si>
    <t>RG-009</t>
  </si>
  <si>
    <t>Details page opens and displays item data</t>
  </si>
  <si>
    <t>RG-010</t>
  </si>
  <si>
    <t>Item can be added to cart</t>
  </si>
  <si>
    <t>RG-011</t>
  </si>
  <si>
    <t>Item can be removed from cart</t>
  </si>
  <si>
    <t>RG-012</t>
  </si>
  <si>
    <t>Cart total/counter updates correctly</t>
  </si>
  <si>
    <t>RG-013</t>
  </si>
  <si>
    <t>Checkout page opens from cart</t>
  </si>
  <si>
    <t>RG-014</t>
  </si>
  <si>
    <t>Required field validation works</t>
  </si>
  <si>
    <t>RG-015</t>
  </si>
  <si>
    <t>Safe checkout flow reaches final step</t>
  </si>
  <si>
    <t>RG-016</t>
  </si>
  <si>
    <t>Error messages are clear and visible</t>
  </si>
  <si>
    <t>RG-017</t>
  </si>
  <si>
    <t>Browser</t>
  </si>
  <si>
    <t>Back/refresh behavior does not break main flow</t>
  </si>
  <si>
    <t>RG-018</t>
  </si>
  <si>
    <t>Main flows are usable on mobile viewport</t>
  </si>
  <si>
    <t>RG-019</t>
  </si>
  <si>
    <t>Main form can be used with keyboard</t>
  </si>
  <si>
    <t>Before major release</t>
  </si>
  <si>
    <t>RG-020</t>
  </si>
  <si>
    <t>Password/restricted data are not exposed</t>
  </si>
  <si>
    <t>Test Summary Report</t>
  </si>
  <si>
    <t>Project</t>
  </si>
  <si>
    <t>Application / URL</t>
  </si>
  <si>
    <t>Test Period</t>
  </si>
  <si>
    <t>Metric</t>
  </si>
  <si>
    <t>Test Cases</t>
  </si>
  <si>
    <t>Regression</t>
  </si>
  <si>
    <t>Bug Reports</t>
  </si>
  <si>
    <t>Total</t>
  </si>
  <si>
    <t>Open Bugs</t>
  </si>
  <si>
    <t>Critical/High Bugs</t>
  </si>
  <si>
    <t>https://practicesoftwaretesting.com/</t>
  </si>
  <si>
    <t>Application Type</t>
  </si>
  <si>
    <t>Demo marketplace / e-commerce web application</t>
  </si>
  <si>
    <t>OS: Windows 11; Browsers: Google Chrome</t>
  </si>
  <si>
    <t>After refreshing the page, selected checkboxes and filter settings are reset instead of being preserved.</t>
  </si>
  <si>
    <t>Selected sorting option is not preserved after page refresh. After reloading the page, the product list returns to the default sorting order.</t>
  </si>
  <si>
    <t>After navigating from a product details page back to the catalog, the previous catalog context is not preserved. Filters, sorting, and/or scroll position are reset.</t>
  </si>
  <si>
    <t>Fields accept test data, but basic format validation is applied. Phone field requires numeric input, and email/postal code fields require valid formats where applicable.</t>
  </si>
  <si>
    <t>Test case could not be executed because the demo application does not provide a product with a broken or missing preview image.</t>
  </si>
  <si>
    <t>1. Open login page
2. Enter valid email
3. Enter valid password
4. Click Login</t>
  </si>
  <si>
    <t>1. Enter valid email
2. Leave password field empty
3. Click Login</t>
  </si>
  <si>
    <t>1. Enter valid email
2. Enter wrong password
3. Click Login</t>
  </si>
  <si>
    <t>1. Open catalog page</t>
  </si>
  <si>
    <t>User is logged in successfully and redirected to the account page</t>
  </si>
  <si>
    <t>Valid email/password</t>
  </si>
  <si>
    <t>Valid email/empty password</t>
  </si>
  <si>
    <t>Catalog page loads and product cards are visible</t>
  </si>
  <si>
    <t>Catalog page loads successfully and product cards are visible</t>
  </si>
  <si>
    <t>Open product details page</t>
  </si>
  <si>
    <t xml:space="preserve">Product details page opens and displays product name, image, price, description, and Add to cart button.
</t>
  </si>
  <si>
    <t>Item is added to cart and cart quantity is updated.</t>
  </si>
  <si>
    <t>1. Open cart
2. Click Remove for item</t>
  </si>
  <si>
    <t>Item is removed from cart and cart total is updated.</t>
  </si>
  <si>
    <t xml:space="preserve">Empty cart message is displayed clearly.
</t>
  </si>
  <si>
    <t xml:space="preserve">User is logged in successfully and redirected to the account page.
</t>
  </si>
  <si>
    <t>Validation message is displayed for the empty password field and user is not logged in.</t>
  </si>
  <si>
    <t xml:space="preserve">Error message is displayed and user remains on the login page.
</t>
  </si>
  <si>
    <t>Restricted content is not accessible after logout. User is redirected to login page</t>
  </si>
  <si>
    <t xml:space="preserve">Relevant search results are displayed for the entered keyword.
</t>
  </si>
  <si>
    <t>No-results state is displayed clearly for a keyword with no matching products</t>
  </si>
  <si>
    <t xml:space="preserve">Only products matching the selected filter are displayed.
</t>
  </si>
  <si>
    <t>1. Click Clear filter</t>
  </si>
  <si>
    <t xml:space="preserve">Selected filter is removed and product results are updated.
</t>
  </si>
  <si>
    <t>Product list is reordered according to the selected sorting option.</t>
  </si>
  <si>
    <t>Checkout page opens successfully with the selected item in the cart.</t>
  </si>
  <si>
    <t>No validation messages are displayed for empty required billing address fields. The "Proceed to checkout" button remains disabled.</t>
  </si>
  <si>
    <t xml:space="preserve">User reaches the confirmation without errors using valid test checkout data.
</t>
  </si>
  <si>
    <t xml:space="preserve">Layout is readable and usable on 360x800 mobile viewport. No critical overlap, broken controls, or unexpected horizontal scrolling were found.
</t>
  </si>
  <si>
    <t xml:space="preserve">Script-like input is treated as plain text or safely rejected. No script is executed.
</t>
  </si>
  <si>
    <t>1. Enter script-like input
2. search
3. Observe page behavior</t>
  </si>
  <si>
    <t>Required billing address fields do not show validation messages when empty. The "Proceed to checkout" button remains disabled, but the user is not clearly informed which fields must be completed.</t>
  </si>
  <si>
    <t>CH-067</t>
  </si>
  <si>
    <t>Verify keyboard navigation through user account dropdown</t>
  </si>
  <si>
    <t>User account dropdown is partially accessible by keyboard, but the "Sign out" option cannot be reached using Tab. Pressing Tab closes the dropdown menu instead.</t>
  </si>
  <si>
    <t>TC-021</t>
  </si>
  <si>
    <t>Keyboard navigation through user account dropdown</t>
  </si>
  <si>
    <t xml:space="preserve">User is logged in </t>
  </si>
  <si>
    <t xml:space="preserve">1. Navigate to the user account menu using Tab.
2. Open the account dropdown menu.
3. Press Tab to move through dropdown items.
4. Reach and activate the "Sign out" option using keyboard.
</t>
  </si>
  <si>
    <t>All dropdown menu items, including "Sign out", should be reachable and actionable using keyboard navigation.</t>
  </si>
  <si>
    <t xml:space="preserve">"Sign out" cannot be reached using Tab navigation. Pressing Tab closes the dropdown instead of moving focus to the "Sign out" option.
</t>
  </si>
  <si>
    <t>Selected filters are reset after page refresh</t>
  </si>
  <si>
    <t>Product catalog page is open.</t>
  </si>
  <si>
    <t>1. Open the product catalog page.
2. Select one or more filters.
3. Verify that filtered results are displayed.
4. Refresh the page.</t>
  </si>
  <si>
    <t>Selected filters are not preserved after page refresh. Checkboxes are reset and the catalog returns to the default state.</t>
  </si>
  <si>
    <t>Selected filters should remain active after page refresh, and the filtered result list should be preserved.</t>
  </si>
  <si>
    <t>Selected sorting option is reset after page refresh</t>
  </si>
  <si>
    <t>1. Open the product catalog page.
2. Select any sorting option.
3. Verify that the product list is sorted.
4. Refresh the page.</t>
  </si>
  <si>
    <t>Selected sorting option is not preserved after page refresh. The product list returns to the default sorting order.</t>
  </si>
  <si>
    <t>Selected sorting option should remain active after page refresh, and the product order should stay consistent.</t>
  </si>
  <si>
    <t>Catalog context is not preserved after returning from product details page</t>
  </si>
  <si>
    <t>Product catalog page is open. Filter, sorting, or scroll position is applied.</t>
  </si>
  <si>
    <t>1. Open the product catalog page.
2. Apply a filter or sorting option.
3. Scroll down the product list.
4. Open a product details page.
5. Navigate back to the catalog page.</t>
  </si>
  <si>
    <t>Previous catalog context is not preserved after returning from product details. Filters, sorting, and/or scroll position are reset.</t>
  </si>
  <si>
    <t>The application should preserve the previous catalog context after returning from product details, including filters, sorting, and/or scroll position where applicable.</t>
  </si>
  <si>
    <t>Missing validation messages for required billing address fields</t>
  </si>
  <si>
    <t>User is logged in and has at least one item in the cart. Checkout Billing Address step is open.</t>
  </si>
  <si>
    <t>1. Open the cart.
2. Proceed to checkout.
3. Go to the Billing Address step.
4. Leave required fields empty.
5. Observe the form state.</t>
  </si>
  <si>
    <t>No validation messages are displayed for empty required billing address fields. The "Proceed to checkout" button remains disabled without explaining which fields must be completed.</t>
  </si>
  <si>
    <t>The application should clearly indicate which required fields are missing, either by displaying validation messages near the fields or by showing clear field-level validation after user interaction.</t>
  </si>
  <si>
    <t>Sign out option is not accessible via keyboard navigation</t>
  </si>
  <si>
    <t>User is logged in.</t>
  </si>
  <si>
    <t>1. Navigate to the user account dropdown using keyboard Tab navigation.
2. Open the account dropdown menu.
3. Press Tab to move through the dropdown options.
4. Try to reach and activate the "Sign out" option using keyboard.</t>
  </si>
  <si>
    <t>The "Sign out" option cannot be reached using Tab navigation. Pressing Tab closes the dropdown menu instead of moving focus to the "Sign out" option.</t>
  </si>
  <si>
    <t>All user account dropdown options, including "Sign out", should be reachable and actionable using keyboard navigation.</t>
  </si>
  <si>
    <t>TC-022</t>
  </si>
  <si>
    <t>Filter state after page refresh</t>
  </si>
  <si>
    <t>Any available filter</t>
  </si>
  <si>
    <t>1. Open catalog page
2. Select one or more filters
3. Verify that filtered results are displayed
4. Refresh the page</t>
  </si>
  <si>
    <t>Selected filters remain active after page refresh</t>
  </si>
  <si>
    <t>Selected filters are reset after page refresh. Checkboxes become unchecked and default catalog results are displayed.</t>
  </si>
  <si>
    <t>TC-023</t>
  </si>
  <si>
    <t>Sorting state after page refresh</t>
  </si>
  <si>
    <t>Any available sorting option</t>
  </si>
  <si>
    <t>1. Open catalog page
2. Select a sorting option
3. Verify that products are sorted
4. Refresh the page</t>
  </si>
  <si>
    <t>Selected sorting option remains active and product order stays consistent</t>
  </si>
  <si>
    <t>Selected sorting option is reset after page refresh and product list returns to the default sorting order.</t>
  </si>
  <si>
    <t>TC-024</t>
  </si>
  <si>
    <t>Catalog context after returning from product details</t>
  </si>
  <si>
    <t>Catalog page is open; filters/sorting or scroll position are applied</t>
  </si>
  <si>
    <t>Any product</t>
  </si>
  <si>
    <t>1. Open catalog page
2. Apply filter or sorting
3. Scroll down the product list
4. Open a product details page
5. Navigate back to catalog</t>
  </si>
  <si>
    <t>Previous catalog context is preserved, including filters, sorting, and/or scroll position</t>
  </si>
  <si>
    <t>Previous catalog context is not preserved. User is returned to the default catalog state.</t>
  </si>
  <si>
    <t>CH-027  TC-023</t>
  </si>
  <si>
    <t>CH-024  TC-022</t>
  </si>
  <si>
    <t>CH-031  TC-024</t>
  </si>
  <si>
    <t>CH-060 TC-016</t>
  </si>
  <si>
    <t>CH-067 TC-021</t>
  </si>
  <si>
    <t>Practice Software Testing — Toolshop https://practicesoftwaretesting.com/</t>
  </si>
  <si>
    <t>2026-07-02 – 2026-07-07</t>
  </si>
  <si>
    <t>Windows 11; Chrome;  Chrome DevTools responsive view</t>
  </si>
  <si>
    <t>Product catalog, search, filters, sorting, product details page, cart, checkout flow, login, registration, validation messages, browser back button behavior, responsive layout, basic accessibility checks, basic security checks.</t>
  </si>
  <si>
    <t>Manual functional testing, UI testing, regression testing, responsive testing, basic accessibility testing, basic security testing.</t>
  </si>
  <si>
    <t>Keyboard focus moves through login form fields and buttons in a logical order. The login form can be used with keyboard navigation.</t>
  </si>
  <si>
    <t>Bug ID / Notes</t>
  </si>
  <si>
    <t>Valid email, invalid password</t>
  </si>
  <si>
    <t>Validation messages are generally clear and user-friendly when displayed. Field length and format validation messages clearly explain the issue. Missing required-field messages in the checkout billing address form are tracked separately in CH-060 / BR-004.</t>
  </si>
  <si>
    <t>Related Check / Test Case</t>
  </si>
  <si>
    <t>Regression suite was prepared but not executed, as this is a demo portfolio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</si>
</sst>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b/>
      <sz val="11"/>
      <color rgb="FFFFFFFF"/>
      <name val="Carlito"/>
    </font>
    <font>
      <b/>
      <sz val="16"/>
      <color rgb="FFFFFFFF"/>
      <name val="Carlito"/>
    </font>
    <font>
      <b/>
      <sz val="11"/>
      <name val="Carlito"/>
    </font>
    <font>
      <sz val="11"/>
      <name val="Carlito"/>
    </font>
    <font>
      <u/>
      <sz val="11"/>
      <color theme="10"/>
      <name val="Carlito"/>
    </font>
    <font>
      <sz val="11"/>
      <color theme="10"/>
      <name val="Carlito"/>
    </font>
    <font>
      <sz val="10"/>
      <name val="Arial Unicode MS"/>
    </font>
  </fonts>
  <fills count="5">
    <fill>
      <patternFill patternType="none"/>
    </fill>
    <fill>
      <patternFill patternType="gray125"/>
    </fill>
    <fill>
      <patternFill patternType="solid">
        <fgColor rgb="FF1F4E78"/>
      </patternFill>
    </fill>
    <fill>
      <patternFill patternType="solid">
        <fgColor rgb="FFD9EAF7"/>
      </patternFill>
    </fill>
    <fill>
      <patternFill patternType="solid">
        <fgColor rgb="FFFFF2CC"/>
      </patternFill>
    </fill>
  </fills>
  <borders count="1">
    <border>
      <left/>
      <right/>
      <top/>
      <bottom/>
      <diagonal/>
    </border>
  </borders>
  <cellStyleXfs count="4">
    <xf numFmtId="0" fontId="0" fillId="0" borderId="0"/>
    <xf numFmtId="0" fontId="4" fillId="0" borderId="0"/>
    <xf numFmtId="0" fontId="5" fillId="0" borderId="0" applyNumberFormat="0" applyFill="0" applyBorder="0" applyAlignment="0" applyProtection="0"/>
    <xf numFmtId="0" fontId="6" fillId="0" borderId="0" applyNumberFormat="0" applyFill="0" applyBorder="0" applyAlignment="0" applyProtection="0"/>
  </cellStyleXfs>
  <cellXfs count="16">
    <xf numFmtId="0" fontId="0" fillId="0" borderId="0" xfId="0"/>
    <xf numFmtId="0" fontId="1" fillId="2" borderId="0" xfId="1" applyFont="1" applyFill="1" applyAlignment="1">
      <alignment horizontal="center" vertical="center" wrapText="1"/>
    </xf>
    <xf numFmtId="0" fontId="0" fillId="0" borderId="0" xfId="1" applyFont="1" applyAlignment="1">
      <alignment wrapText="1"/>
    </xf>
    <xf numFmtId="0" fontId="3" fillId="3" borderId="0" xfId="1" applyFont="1" applyFill="1" applyAlignment="1">
      <alignment wrapText="1"/>
    </xf>
    <xf numFmtId="0" fontId="3" fillId="3" borderId="0" xfId="1" applyFont="1" applyFill="1" applyAlignment="1">
      <alignment vertical="top" wrapText="1"/>
    </xf>
    <xf numFmtId="0" fontId="1" fillId="2" borderId="0" xfId="1" applyFont="1" applyFill="1" applyAlignment="1">
      <alignment horizontal="center" vertical="top" wrapText="1"/>
    </xf>
    <xf numFmtId="0" fontId="0" fillId="0" borderId="0" xfId="1" applyFont="1" applyAlignment="1">
      <alignment vertical="top" wrapText="1"/>
    </xf>
    <xf numFmtId="0" fontId="0" fillId="0" borderId="0" xfId="1" applyFont="1" applyAlignment="1">
      <alignment vertical="top"/>
    </xf>
    <xf numFmtId="0" fontId="5" fillId="0" borderId="0" xfId="2" applyAlignment="1">
      <alignment vertical="top" wrapText="1"/>
    </xf>
    <xf numFmtId="0" fontId="0" fillId="0" borderId="0" xfId="0" applyAlignment="1">
      <alignment vertical="top"/>
    </xf>
    <xf numFmtId="0" fontId="0" fillId="0" borderId="0" xfId="0" applyAlignment="1">
      <alignment vertical="top" wrapText="1"/>
    </xf>
    <xf numFmtId="0" fontId="0" fillId="0" borderId="0" xfId="0" applyAlignment="1">
      <alignment wrapText="1"/>
    </xf>
    <xf numFmtId="0" fontId="7" fillId="0" borderId="0" xfId="0" applyFont="1" applyAlignment="1">
      <alignment vertical="center" wrapText="1"/>
    </xf>
    <xf numFmtId="0" fontId="2" fillId="2" borderId="0" xfId="1" applyFont="1" applyFill="1" applyAlignment="1">
      <alignment horizontal="center"/>
    </xf>
    <xf numFmtId="0" fontId="0" fillId="0" borderId="0" xfId="0"/>
    <xf numFmtId="0" fontId="0" fillId="4" borderId="0" xfId="1" applyFont="1" applyFill="1" applyAlignment="1">
      <alignment vertical="top" wrapText="1"/>
    </xf>
  </cellXfs>
  <cellStyles count="4">
    <cellStyle name="Normal" xfId="1" xr:uid="{00000000-0005-0000-0000-000000000000}"/>
    <cellStyle name="Гиперссылка" xfId="2" builtinId="8"/>
    <cellStyle name="Гиперссылка 2" xfId="3" xr:uid="{D125FB71-03C9-44C0-B83B-01C02FD34484}"/>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practicesoftwaretesting.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
  <sheetViews>
    <sheetView workbookViewId="0">
      <selection activeCell="B2" sqref="B2:B4"/>
    </sheetView>
  </sheetViews>
  <sheetFormatPr defaultRowHeight="14.25"/>
  <cols>
    <col min="1" max="1" width="16" customWidth="1"/>
    <col min="2" max="3" width="14" customWidth="1"/>
    <col min="4" max="4" width="20" customWidth="1"/>
  </cols>
  <sheetData>
    <row r="1" spans="1:4" ht="15">
      <c r="A1" s="1" t="s">
        <v>0</v>
      </c>
      <c r="B1" s="1" t="s">
        <v>1</v>
      </c>
      <c r="C1" s="1" t="s">
        <v>2</v>
      </c>
      <c r="D1" s="1" t="s">
        <v>3</v>
      </c>
    </row>
    <row r="2" spans="1:4">
      <c r="A2" t="s">
        <v>4</v>
      </c>
      <c r="B2" t="s">
        <v>5</v>
      </c>
      <c r="C2" t="s">
        <v>6</v>
      </c>
      <c r="D2" t="s">
        <v>7</v>
      </c>
    </row>
    <row r="3" spans="1:4">
      <c r="A3" t="s">
        <v>8</v>
      </c>
      <c r="B3" t="s">
        <v>9</v>
      </c>
      <c r="C3" t="s">
        <v>5</v>
      </c>
      <c r="D3" t="s">
        <v>10</v>
      </c>
    </row>
    <row r="4" spans="1:4">
      <c r="A4" t="s">
        <v>11</v>
      </c>
      <c r="B4" t="s">
        <v>12</v>
      </c>
      <c r="C4" t="s">
        <v>9</v>
      </c>
      <c r="D4" t="s">
        <v>13</v>
      </c>
    </row>
    <row r="5" spans="1:4">
      <c r="A5" t="s">
        <v>14</v>
      </c>
      <c r="C5" t="s">
        <v>12</v>
      </c>
      <c r="D5" t="s">
        <v>15</v>
      </c>
    </row>
    <row r="6" spans="1:4">
      <c r="A6" t="s">
        <v>16</v>
      </c>
      <c r="C6" t="s">
        <v>17</v>
      </c>
      <c r="D6" t="s">
        <v>18</v>
      </c>
    </row>
    <row r="7" spans="1:4">
      <c r="D7" t="s">
        <v>19</v>
      </c>
    </row>
    <row r="8" spans="1:4">
      <c r="D8" t="s">
        <v>20</v>
      </c>
    </row>
    <row r="9" spans="1:4">
      <c r="D9" t="s">
        <v>21</v>
      </c>
    </row>
    <row r="10" spans="1:4">
      <c r="D10" t="s">
        <v>22</v>
      </c>
    </row>
    <row r="11" spans="1:4">
      <c r="D11" t="s">
        <v>23</v>
      </c>
    </row>
    <row r="12" spans="1:4">
      <c r="D12" t="s">
        <v>24</v>
      </c>
    </row>
    <row r="13" spans="1:4">
      <c r="D13" t="s">
        <v>25</v>
      </c>
    </row>
    <row r="14" spans="1:4">
      <c r="D14" t="s">
        <v>26</v>
      </c>
    </row>
    <row r="15" spans="1:4">
      <c r="D15" t="s">
        <v>27</v>
      </c>
    </row>
    <row r="16" spans="1:4">
      <c r="D16" t="s">
        <v>28</v>
      </c>
    </row>
    <row r="17" spans="4:4">
      <c r="D17"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5"/>
  <sheetViews>
    <sheetView workbookViewId="0">
      <selection activeCell="B22" sqref="B22"/>
    </sheetView>
  </sheetViews>
  <sheetFormatPr defaultRowHeight="14.25"/>
  <cols>
    <col min="1" max="1" width="24" customWidth="1"/>
    <col min="2" max="2" width="115" customWidth="1"/>
  </cols>
  <sheetData>
    <row r="1" spans="1:2" ht="15">
      <c r="A1" s="1" t="s">
        <v>31</v>
      </c>
      <c r="B1" s="1" t="s">
        <v>32</v>
      </c>
    </row>
    <row r="2" spans="1:2" ht="15">
      <c r="A2" s="4" t="s">
        <v>33</v>
      </c>
      <c r="B2" s="6" t="s">
        <v>34</v>
      </c>
    </row>
    <row r="3" spans="1:2" ht="15">
      <c r="A3" s="4" t="s">
        <v>35</v>
      </c>
      <c r="B3" s="8" t="s">
        <v>360</v>
      </c>
    </row>
    <row r="4" spans="1:2" ht="15.95" customHeight="1">
      <c r="A4" s="4" t="s">
        <v>361</v>
      </c>
      <c r="B4" t="s">
        <v>362</v>
      </c>
    </row>
    <row r="5" spans="1:2" ht="15">
      <c r="A5" s="4" t="s">
        <v>36</v>
      </c>
      <c r="B5" s="6" t="s">
        <v>37</v>
      </c>
    </row>
    <row r="6" spans="1:2" ht="15">
      <c r="A6" s="4" t="s">
        <v>352</v>
      </c>
      <c r="B6" s="6" t="s">
        <v>459</v>
      </c>
    </row>
    <row r="7" spans="1:2" ht="28.5">
      <c r="A7" s="4" t="s">
        <v>38</v>
      </c>
      <c r="B7" s="6" t="s">
        <v>39</v>
      </c>
    </row>
    <row r="8" spans="1:2" ht="28.5">
      <c r="A8" s="4" t="s">
        <v>40</v>
      </c>
      <c r="B8" s="6" t="s">
        <v>461</v>
      </c>
    </row>
    <row r="9" spans="1:2" ht="15">
      <c r="A9" s="4" t="s">
        <v>41</v>
      </c>
      <c r="B9" s="6" t="s">
        <v>42</v>
      </c>
    </row>
    <row r="10" spans="1:2" ht="15">
      <c r="A10" s="4" t="s">
        <v>43</v>
      </c>
      <c r="B10" s="6" t="s">
        <v>462</v>
      </c>
    </row>
    <row r="11" spans="1:2" ht="15">
      <c r="A11" s="4" t="s">
        <v>44</v>
      </c>
      <c r="B11" s="6" t="s">
        <v>363</v>
      </c>
    </row>
    <row r="12" spans="1:2" ht="15">
      <c r="A12" s="4" t="s">
        <v>45</v>
      </c>
      <c r="B12" s="6" t="s">
        <v>46</v>
      </c>
    </row>
    <row r="13" spans="1:2" ht="28.5">
      <c r="A13" s="4" t="s">
        <v>47</v>
      </c>
      <c r="B13" s="6" t="s">
        <v>48</v>
      </c>
    </row>
    <row r="14" spans="1:2" ht="28.5">
      <c r="A14" s="4" t="s">
        <v>49</v>
      </c>
      <c r="B14" s="6" t="s">
        <v>50</v>
      </c>
    </row>
    <row r="15" spans="1:2" ht="15">
      <c r="A15" s="4" t="s">
        <v>51</v>
      </c>
      <c r="B15" s="6" t="s">
        <v>52</v>
      </c>
    </row>
  </sheetData>
  <hyperlinks>
    <hyperlink ref="B3" r:id="rId1" xr:uid="{21431D6C-324D-4681-88CA-FDB280AE839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200"/>
  <sheetViews>
    <sheetView topLeftCell="A31" zoomScaleNormal="100" workbookViewId="0">
      <selection activeCell="K43" sqref="K43"/>
    </sheetView>
  </sheetViews>
  <sheetFormatPr defaultRowHeight="14.25"/>
  <cols>
    <col min="1" max="1" width="10" customWidth="1"/>
    <col min="2" max="2" width="18" customWidth="1"/>
    <col min="3" max="3" width="64" customWidth="1"/>
    <col min="4" max="4" width="12" customWidth="1"/>
    <col min="5" max="5" width="13" customWidth="1"/>
    <col min="6" max="6" width="24" customWidth="1"/>
    <col min="7" max="7" width="32" customWidth="1"/>
  </cols>
  <sheetData>
    <row r="1" spans="1:26" ht="27.95" customHeight="1">
      <c r="A1" s="5" t="s">
        <v>53</v>
      </c>
      <c r="B1" s="5" t="s">
        <v>3</v>
      </c>
      <c r="C1" s="5" t="s">
        <v>54</v>
      </c>
      <c r="D1" s="5" t="s">
        <v>1</v>
      </c>
      <c r="E1" s="5" t="s">
        <v>0</v>
      </c>
      <c r="F1" s="5" t="s">
        <v>55</v>
      </c>
      <c r="G1" s="5" t="s">
        <v>56</v>
      </c>
      <c r="H1" s="7"/>
      <c r="I1" s="7"/>
      <c r="J1" s="7"/>
      <c r="K1" s="7"/>
      <c r="L1" s="7"/>
      <c r="M1" s="7"/>
      <c r="N1" s="7"/>
      <c r="O1" s="7"/>
      <c r="P1" s="7"/>
      <c r="Q1" s="7"/>
      <c r="R1" s="7"/>
      <c r="S1" s="7"/>
      <c r="T1" s="7"/>
      <c r="U1" s="7"/>
      <c r="V1" s="7"/>
      <c r="W1" s="7"/>
      <c r="X1" s="7"/>
      <c r="Y1" s="7"/>
      <c r="Z1" s="7"/>
    </row>
    <row r="2" spans="1:26">
      <c r="A2" s="6" t="s">
        <v>57</v>
      </c>
      <c r="B2" s="6" t="s">
        <v>7</v>
      </c>
      <c r="C2" s="6" t="s">
        <v>58</v>
      </c>
      <c r="D2" s="6" t="s">
        <v>5</v>
      </c>
      <c r="E2" s="6" t="s">
        <v>8</v>
      </c>
      <c r="F2" s="6" t="s">
        <v>59</v>
      </c>
      <c r="G2" s="6"/>
      <c r="H2" s="7"/>
      <c r="I2" s="7"/>
      <c r="J2" s="7"/>
      <c r="K2" s="7"/>
      <c r="L2" s="7"/>
      <c r="M2" s="7"/>
      <c r="N2" s="7"/>
      <c r="O2" s="7"/>
      <c r="P2" s="7"/>
      <c r="Q2" s="7"/>
      <c r="R2" s="7"/>
      <c r="S2" s="7"/>
      <c r="T2" s="7"/>
      <c r="U2" s="7"/>
      <c r="V2" s="7"/>
      <c r="W2" s="7"/>
      <c r="X2" s="7"/>
      <c r="Y2" s="7"/>
      <c r="Z2" s="7"/>
    </row>
    <row r="3" spans="1:26">
      <c r="A3" s="6" t="s">
        <v>60</v>
      </c>
      <c r="B3" s="6" t="s">
        <v>7</v>
      </c>
      <c r="C3" s="6" t="s">
        <v>61</v>
      </c>
      <c r="D3" s="6" t="s">
        <v>5</v>
      </c>
      <c r="E3" s="6" t="s">
        <v>8</v>
      </c>
      <c r="F3" s="6" t="s">
        <v>59</v>
      </c>
      <c r="G3" s="6"/>
      <c r="H3" s="7"/>
      <c r="I3" s="7"/>
      <c r="J3" s="7"/>
      <c r="K3" s="7"/>
      <c r="L3" s="7"/>
      <c r="M3" s="7"/>
      <c r="N3" s="7"/>
      <c r="O3" s="7"/>
      <c r="P3" s="7"/>
      <c r="Q3" s="7"/>
      <c r="R3" s="7"/>
      <c r="S3" s="7"/>
      <c r="T3" s="7"/>
      <c r="U3" s="7"/>
      <c r="V3" s="7"/>
      <c r="W3" s="7"/>
      <c r="X3" s="7"/>
      <c r="Y3" s="7"/>
      <c r="Z3" s="7"/>
    </row>
    <row r="4" spans="1:26">
      <c r="A4" s="6" t="s">
        <v>62</v>
      </c>
      <c r="B4" s="6" t="s">
        <v>7</v>
      </c>
      <c r="C4" s="6" t="s">
        <v>63</v>
      </c>
      <c r="D4" s="6" t="s">
        <v>5</v>
      </c>
      <c r="E4" s="6" t="s">
        <v>8</v>
      </c>
      <c r="F4" s="6" t="s">
        <v>59</v>
      </c>
      <c r="G4" s="6"/>
      <c r="H4" s="7"/>
      <c r="I4" s="7"/>
      <c r="J4" s="7"/>
      <c r="K4" s="7"/>
      <c r="L4" s="7"/>
      <c r="M4" s="7"/>
      <c r="N4" s="7"/>
      <c r="O4" s="7"/>
      <c r="P4" s="7"/>
      <c r="Q4" s="7"/>
      <c r="R4" s="7"/>
      <c r="S4" s="7"/>
      <c r="T4" s="7"/>
      <c r="U4" s="7"/>
      <c r="V4" s="7"/>
      <c r="W4" s="7"/>
      <c r="X4" s="7"/>
      <c r="Y4" s="7"/>
      <c r="Z4" s="7"/>
    </row>
    <row r="5" spans="1:26">
      <c r="A5" s="6" t="s">
        <v>64</v>
      </c>
      <c r="B5" s="6" t="s">
        <v>7</v>
      </c>
      <c r="C5" s="6" t="s">
        <v>65</v>
      </c>
      <c r="D5" s="6" t="s">
        <v>5</v>
      </c>
      <c r="E5" s="6" t="s">
        <v>8</v>
      </c>
      <c r="F5" s="6" t="s">
        <v>59</v>
      </c>
      <c r="G5" s="6"/>
      <c r="H5" s="7"/>
      <c r="I5" s="7"/>
      <c r="J5" s="7"/>
      <c r="K5" s="7"/>
      <c r="L5" s="7"/>
      <c r="M5" s="7"/>
      <c r="N5" s="7"/>
      <c r="O5" s="7"/>
      <c r="P5" s="7"/>
      <c r="Q5" s="7"/>
      <c r="R5" s="7"/>
      <c r="S5" s="7"/>
      <c r="T5" s="7"/>
      <c r="U5" s="7"/>
      <c r="V5" s="7"/>
      <c r="W5" s="7"/>
      <c r="X5" s="7"/>
      <c r="Y5" s="7"/>
      <c r="Z5" s="7"/>
    </row>
    <row r="6" spans="1:26">
      <c r="A6" s="6" t="s">
        <v>66</v>
      </c>
      <c r="B6" s="6" t="s">
        <v>7</v>
      </c>
      <c r="C6" s="6" t="s">
        <v>67</v>
      </c>
      <c r="D6" s="6" t="s">
        <v>5</v>
      </c>
      <c r="E6" s="6" t="s">
        <v>8</v>
      </c>
      <c r="F6" s="6" t="s">
        <v>59</v>
      </c>
      <c r="G6" s="6"/>
      <c r="H6" s="7"/>
      <c r="I6" s="7"/>
      <c r="J6" s="7"/>
      <c r="K6" s="7"/>
      <c r="L6" s="7"/>
      <c r="M6" s="7"/>
      <c r="N6" s="7"/>
      <c r="O6" s="7"/>
      <c r="P6" s="7"/>
      <c r="Q6" s="7"/>
      <c r="R6" s="7"/>
      <c r="S6" s="7"/>
      <c r="T6" s="7"/>
      <c r="U6" s="7"/>
      <c r="V6" s="7"/>
      <c r="W6" s="7"/>
      <c r="X6" s="7"/>
      <c r="Y6" s="7"/>
      <c r="Z6" s="7"/>
    </row>
    <row r="7" spans="1:26">
      <c r="A7" s="6" t="s">
        <v>68</v>
      </c>
      <c r="B7" s="6" t="s">
        <v>7</v>
      </c>
      <c r="C7" s="6" t="s">
        <v>69</v>
      </c>
      <c r="D7" s="6" t="s">
        <v>9</v>
      </c>
      <c r="E7" s="6" t="s">
        <v>8</v>
      </c>
      <c r="F7" s="6" t="s">
        <v>59</v>
      </c>
      <c r="G7" s="6"/>
      <c r="H7" s="7"/>
      <c r="I7" s="7"/>
      <c r="J7" s="7"/>
      <c r="K7" s="7"/>
      <c r="L7" s="7"/>
      <c r="M7" s="7"/>
      <c r="N7" s="7"/>
      <c r="O7" s="7"/>
      <c r="P7" s="7"/>
      <c r="Q7" s="7"/>
      <c r="R7" s="7"/>
      <c r="S7" s="7"/>
      <c r="T7" s="7"/>
      <c r="U7" s="7"/>
      <c r="V7" s="7"/>
      <c r="W7" s="7"/>
      <c r="X7" s="7"/>
      <c r="Y7" s="7"/>
      <c r="Z7" s="7"/>
    </row>
    <row r="8" spans="1:26">
      <c r="A8" s="6" t="s">
        <v>70</v>
      </c>
      <c r="B8" s="6" t="s">
        <v>7</v>
      </c>
      <c r="C8" s="6" t="s">
        <v>71</v>
      </c>
      <c r="D8" s="6" t="s">
        <v>9</v>
      </c>
      <c r="E8" s="6" t="s">
        <v>8</v>
      </c>
      <c r="F8" s="6" t="s">
        <v>59</v>
      </c>
      <c r="G8" s="6"/>
      <c r="H8" s="7"/>
      <c r="I8" s="7"/>
      <c r="J8" s="7"/>
      <c r="K8" s="7"/>
      <c r="L8" s="7"/>
      <c r="M8" s="7"/>
      <c r="N8" s="7"/>
      <c r="O8" s="7"/>
      <c r="P8" s="7"/>
      <c r="Q8" s="7"/>
      <c r="R8" s="7"/>
      <c r="S8" s="7"/>
      <c r="T8" s="7"/>
      <c r="U8" s="7"/>
      <c r="V8" s="7"/>
      <c r="W8" s="7"/>
      <c r="X8" s="7"/>
      <c r="Y8" s="7"/>
      <c r="Z8" s="7"/>
    </row>
    <row r="9" spans="1:26">
      <c r="A9" s="6" t="s">
        <v>72</v>
      </c>
      <c r="B9" s="6" t="s">
        <v>7</v>
      </c>
      <c r="C9" s="6" t="s">
        <v>73</v>
      </c>
      <c r="D9" s="6" t="s">
        <v>9</v>
      </c>
      <c r="E9" s="6" t="s">
        <v>8</v>
      </c>
      <c r="F9" s="6" t="s">
        <v>59</v>
      </c>
      <c r="G9" s="6"/>
      <c r="H9" s="7"/>
      <c r="I9" s="7"/>
      <c r="J9" s="7"/>
      <c r="K9" s="7"/>
      <c r="L9" s="7"/>
      <c r="M9" s="7"/>
      <c r="N9" s="7"/>
      <c r="O9" s="7"/>
      <c r="P9" s="7"/>
      <c r="Q9" s="7"/>
      <c r="R9" s="7"/>
      <c r="S9" s="7"/>
      <c r="T9" s="7"/>
      <c r="U9" s="7"/>
      <c r="V9" s="7"/>
      <c r="W9" s="7"/>
      <c r="X9" s="7"/>
      <c r="Y9" s="7"/>
      <c r="Z9" s="7"/>
    </row>
    <row r="10" spans="1:26">
      <c r="A10" s="6" t="s">
        <v>74</v>
      </c>
      <c r="B10" s="6" t="s">
        <v>10</v>
      </c>
      <c r="C10" s="6" t="s">
        <v>75</v>
      </c>
      <c r="D10" s="6" t="s">
        <v>5</v>
      </c>
      <c r="E10" s="6" t="s">
        <v>8</v>
      </c>
      <c r="F10" s="6" t="s">
        <v>59</v>
      </c>
      <c r="G10" s="6"/>
      <c r="H10" s="7"/>
      <c r="I10" s="7"/>
      <c r="J10" s="7"/>
      <c r="K10" s="7"/>
      <c r="L10" s="7"/>
      <c r="M10" s="7"/>
      <c r="N10" s="7"/>
      <c r="O10" s="7"/>
      <c r="P10" s="7"/>
      <c r="Q10" s="7"/>
      <c r="R10" s="7"/>
      <c r="S10" s="7"/>
      <c r="T10" s="7"/>
      <c r="U10" s="7"/>
      <c r="V10" s="7"/>
      <c r="W10" s="7"/>
      <c r="X10" s="7"/>
      <c r="Y10" s="7"/>
      <c r="Z10" s="7"/>
    </row>
    <row r="11" spans="1:26" ht="28.5">
      <c r="A11" s="6" t="s">
        <v>76</v>
      </c>
      <c r="B11" s="6" t="s">
        <v>13</v>
      </c>
      <c r="C11" s="6" t="s">
        <v>77</v>
      </c>
      <c r="D11" s="6" t="s">
        <v>5</v>
      </c>
      <c r="E11" s="6" t="s">
        <v>8</v>
      </c>
      <c r="F11" s="6" t="s">
        <v>59</v>
      </c>
      <c r="G11" s="6"/>
      <c r="H11" s="7"/>
      <c r="I11" s="7"/>
      <c r="J11" s="7"/>
      <c r="K11" s="7"/>
      <c r="L11" s="7"/>
      <c r="M11" s="7"/>
      <c r="N11" s="7"/>
      <c r="O11" s="7"/>
      <c r="P11" s="7"/>
      <c r="Q11" s="7"/>
      <c r="R11" s="7"/>
      <c r="S11" s="7"/>
      <c r="T11" s="7"/>
      <c r="U11" s="7"/>
      <c r="V11" s="7"/>
      <c r="W11" s="7"/>
      <c r="X11" s="7"/>
      <c r="Y11" s="7"/>
      <c r="Z11" s="7"/>
    </row>
    <row r="12" spans="1:26">
      <c r="A12" s="6" t="s">
        <v>78</v>
      </c>
      <c r="B12" s="6" t="s">
        <v>13</v>
      </c>
      <c r="C12" s="6" t="s">
        <v>79</v>
      </c>
      <c r="D12" s="6" t="s">
        <v>9</v>
      </c>
      <c r="E12" s="6" t="s">
        <v>8</v>
      </c>
      <c r="F12" s="6" t="s">
        <v>59</v>
      </c>
      <c r="G12" s="6"/>
      <c r="H12" s="7"/>
      <c r="I12" s="7"/>
      <c r="J12" s="7"/>
      <c r="K12" s="7"/>
      <c r="L12" s="7"/>
      <c r="M12" s="7"/>
      <c r="N12" s="7"/>
      <c r="O12" s="7"/>
      <c r="P12" s="7"/>
      <c r="Q12" s="7"/>
      <c r="R12" s="7"/>
      <c r="S12" s="7"/>
      <c r="T12" s="7"/>
      <c r="U12" s="7"/>
      <c r="V12" s="7"/>
      <c r="W12" s="7"/>
      <c r="X12" s="7"/>
      <c r="Y12" s="7"/>
      <c r="Z12" s="7"/>
    </row>
    <row r="13" spans="1:26">
      <c r="A13" s="6" t="s">
        <v>80</v>
      </c>
      <c r="B13" s="6" t="s">
        <v>15</v>
      </c>
      <c r="C13" s="6" t="s">
        <v>81</v>
      </c>
      <c r="D13" s="6" t="s">
        <v>5</v>
      </c>
      <c r="E13" s="6" t="s">
        <v>8</v>
      </c>
      <c r="F13" s="6" t="s">
        <v>59</v>
      </c>
      <c r="G13" s="6"/>
      <c r="H13" s="7"/>
      <c r="I13" s="7"/>
      <c r="J13" s="7"/>
      <c r="K13" s="7"/>
      <c r="L13" s="7"/>
      <c r="M13" s="7"/>
      <c r="N13" s="7"/>
      <c r="O13" s="7"/>
      <c r="P13" s="7"/>
      <c r="Q13" s="7"/>
      <c r="R13" s="7"/>
      <c r="S13" s="7"/>
      <c r="T13" s="7"/>
      <c r="U13" s="7"/>
      <c r="V13" s="7"/>
      <c r="W13" s="7"/>
      <c r="X13" s="7"/>
      <c r="Y13" s="7"/>
      <c r="Z13" s="7"/>
    </row>
    <row r="14" spans="1:26">
      <c r="A14" s="6" t="s">
        <v>82</v>
      </c>
      <c r="B14" s="6" t="s">
        <v>15</v>
      </c>
      <c r="C14" s="6" t="s">
        <v>83</v>
      </c>
      <c r="D14" s="6" t="s">
        <v>5</v>
      </c>
      <c r="E14" s="6" t="s">
        <v>8</v>
      </c>
      <c r="F14" s="6" t="s">
        <v>59</v>
      </c>
      <c r="G14" s="6"/>
      <c r="H14" s="7"/>
      <c r="I14" s="7"/>
      <c r="J14" s="7"/>
      <c r="K14" s="7"/>
      <c r="L14" s="7"/>
      <c r="M14" s="7"/>
      <c r="N14" s="7"/>
      <c r="O14" s="7"/>
      <c r="P14" s="7"/>
      <c r="Q14" s="7"/>
      <c r="R14" s="7"/>
      <c r="S14" s="7"/>
      <c r="T14" s="7"/>
      <c r="U14" s="7"/>
      <c r="V14" s="7"/>
      <c r="W14" s="7"/>
      <c r="X14" s="7"/>
      <c r="Y14" s="7"/>
      <c r="Z14" s="7"/>
    </row>
    <row r="15" spans="1:26">
      <c r="A15" s="6" t="s">
        <v>84</v>
      </c>
      <c r="B15" s="6" t="s">
        <v>15</v>
      </c>
      <c r="C15" s="6" t="s">
        <v>85</v>
      </c>
      <c r="D15" s="6" t="s">
        <v>9</v>
      </c>
      <c r="E15" s="6" t="s">
        <v>8</v>
      </c>
      <c r="F15" s="6" t="s">
        <v>59</v>
      </c>
      <c r="G15" s="6"/>
      <c r="H15" s="7"/>
      <c r="I15" s="7"/>
      <c r="J15" s="7"/>
      <c r="K15" s="7"/>
      <c r="L15" s="7"/>
      <c r="M15" s="7"/>
      <c r="N15" s="7"/>
      <c r="O15" s="7"/>
      <c r="P15" s="7"/>
      <c r="Q15" s="7"/>
      <c r="R15" s="7"/>
      <c r="S15" s="7"/>
      <c r="T15" s="7"/>
      <c r="U15" s="7"/>
      <c r="V15" s="7"/>
      <c r="W15" s="7"/>
      <c r="X15" s="7"/>
      <c r="Y15" s="7"/>
      <c r="Z15" s="7"/>
    </row>
    <row r="16" spans="1:26">
      <c r="A16" s="6" t="s">
        <v>86</v>
      </c>
      <c r="B16" s="6" t="s">
        <v>15</v>
      </c>
      <c r="C16" s="6" t="s">
        <v>87</v>
      </c>
      <c r="D16" s="6" t="s">
        <v>9</v>
      </c>
      <c r="E16" s="6" t="s">
        <v>8</v>
      </c>
      <c r="F16" s="6" t="s">
        <v>59</v>
      </c>
      <c r="G16" s="6"/>
      <c r="H16" s="7"/>
      <c r="I16" s="7"/>
      <c r="J16" s="7"/>
      <c r="K16" s="7"/>
      <c r="L16" s="7"/>
      <c r="M16" s="7"/>
      <c r="N16" s="7"/>
      <c r="O16" s="7"/>
      <c r="P16" s="7"/>
      <c r="Q16" s="7"/>
      <c r="R16" s="7"/>
      <c r="S16" s="7"/>
      <c r="T16" s="7"/>
      <c r="U16" s="7"/>
      <c r="V16" s="7"/>
      <c r="W16" s="7"/>
      <c r="X16" s="7"/>
      <c r="Y16" s="7"/>
      <c r="Z16" s="7"/>
    </row>
    <row r="17" spans="1:26">
      <c r="A17" s="6" t="s">
        <v>88</v>
      </c>
      <c r="B17" s="6" t="s">
        <v>18</v>
      </c>
      <c r="C17" s="6" t="s">
        <v>89</v>
      </c>
      <c r="D17" s="6" t="s">
        <v>5</v>
      </c>
      <c r="E17" s="6" t="s">
        <v>8</v>
      </c>
      <c r="F17" s="6" t="s">
        <v>59</v>
      </c>
      <c r="G17" s="6"/>
      <c r="H17" s="7"/>
      <c r="I17" s="7"/>
      <c r="J17" s="7"/>
      <c r="K17" s="7"/>
      <c r="L17" s="7"/>
      <c r="M17" s="7"/>
      <c r="N17" s="7"/>
      <c r="O17" s="7"/>
      <c r="P17" s="7"/>
      <c r="Q17" s="7"/>
      <c r="R17" s="7"/>
      <c r="S17" s="7"/>
      <c r="T17" s="7"/>
      <c r="U17" s="7"/>
      <c r="V17" s="7"/>
      <c r="W17" s="7"/>
      <c r="X17" s="7"/>
      <c r="Y17" s="7"/>
      <c r="Z17" s="7"/>
    </row>
    <row r="18" spans="1:26">
      <c r="A18" s="6" t="s">
        <v>90</v>
      </c>
      <c r="B18" s="6" t="s">
        <v>18</v>
      </c>
      <c r="C18" s="6" t="s">
        <v>91</v>
      </c>
      <c r="D18" s="6" t="s">
        <v>9</v>
      </c>
      <c r="E18" s="6" t="s">
        <v>8</v>
      </c>
      <c r="F18" s="6" t="s">
        <v>59</v>
      </c>
      <c r="G18" s="6"/>
      <c r="H18" s="7"/>
      <c r="I18" s="7"/>
      <c r="J18" s="7"/>
      <c r="K18" s="7"/>
      <c r="L18" s="7"/>
      <c r="M18" s="7"/>
      <c r="N18" s="7"/>
      <c r="O18" s="7"/>
      <c r="P18" s="7"/>
      <c r="Q18" s="7"/>
      <c r="R18" s="7"/>
      <c r="S18" s="7"/>
      <c r="T18" s="7"/>
      <c r="U18" s="7"/>
      <c r="V18" s="7"/>
      <c r="W18" s="7"/>
      <c r="X18" s="7"/>
      <c r="Y18" s="7"/>
      <c r="Z18" s="7"/>
    </row>
    <row r="19" spans="1:26">
      <c r="A19" s="6" t="s">
        <v>92</v>
      </c>
      <c r="B19" s="6" t="s">
        <v>18</v>
      </c>
      <c r="C19" s="6" t="s">
        <v>93</v>
      </c>
      <c r="D19" s="6" t="s">
        <v>9</v>
      </c>
      <c r="E19" s="6" t="s">
        <v>8</v>
      </c>
      <c r="F19" s="6" t="s">
        <v>59</v>
      </c>
      <c r="G19" s="6"/>
      <c r="H19" s="7"/>
      <c r="I19" s="7"/>
      <c r="J19" s="7"/>
      <c r="K19" s="7"/>
      <c r="L19" s="7"/>
      <c r="M19" s="7"/>
      <c r="N19" s="7"/>
      <c r="O19" s="7"/>
      <c r="P19" s="7"/>
      <c r="Q19" s="7"/>
      <c r="R19" s="7"/>
      <c r="S19" s="7"/>
      <c r="T19" s="7"/>
      <c r="U19" s="7"/>
      <c r="V19" s="7"/>
      <c r="W19" s="7"/>
      <c r="X19" s="7"/>
      <c r="Y19" s="7"/>
      <c r="Z19" s="7"/>
    </row>
    <row r="20" spans="1:26">
      <c r="A20" s="6" t="s">
        <v>94</v>
      </c>
      <c r="B20" s="6" t="s">
        <v>18</v>
      </c>
      <c r="C20" s="6" t="s">
        <v>95</v>
      </c>
      <c r="D20" s="6" t="s">
        <v>9</v>
      </c>
      <c r="E20" s="6" t="s">
        <v>8</v>
      </c>
      <c r="F20" s="6" t="s">
        <v>59</v>
      </c>
      <c r="G20" s="6"/>
      <c r="H20" s="7"/>
      <c r="I20" s="7"/>
      <c r="J20" s="7"/>
      <c r="K20" s="7"/>
      <c r="L20" s="7"/>
      <c r="M20" s="7"/>
      <c r="N20" s="7"/>
      <c r="O20" s="7"/>
      <c r="P20" s="7"/>
      <c r="Q20" s="7"/>
      <c r="R20" s="7"/>
      <c r="S20" s="7"/>
      <c r="T20" s="7"/>
      <c r="U20" s="7"/>
      <c r="V20" s="7"/>
      <c r="W20" s="7"/>
      <c r="X20" s="7"/>
      <c r="Y20" s="7"/>
      <c r="Z20" s="7"/>
    </row>
    <row r="21" spans="1:26">
      <c r="A21" s="6" t="s">
        <v>96</v>
      </c>
      <c r="B21" s="6" t="s">
        <v>18</v>
      </c>
      <c r="C21" s="6" t="s">
        <v>97</v>
      </c>
      <c r="D21" s="6" t="s">
        <v>12</v>
      </c>
      <c r="E21" s="6" t="s">
        <v>8</v>
      </c>
      <c r="F21" s="6" t="s">
        <v>59</v>
      </c>
      <c r="G21" s="6"/>
      <c r="H21" s="7"/>
      <c r="I21" s="7"/>
      <c r="J21" s="7"/>
      <c r="K21" s="7"/>
      <c r="L21" s="7"/>
      <c r="M21" s="7"/>
      <c r="N21" s="7"/>
      <c r="O21" s="7"/>
      <c r="P21" s="7"/>
      <c r="Q21" s="7"/>
      <c r="R21" s="7"/>
      <c r="S21" s="7"/>
      <c r="T21" s="7"/>
      <c r="U21" s="7"/>
      <c r="V21" s="7"/>
      <c r="W21" s="7"/>
      <c r="X21" s="7"/>
      <c r="Y21" s="7"/>
      <c r="Z21" s="7"/>
    </row>
    <row r="22" spans="1:26">
      <c r="A22" s="6" t="s">
        <v>98</v>
      </c>
      <c r="B22" s="6" t="s">
        <v>19</v>
      </c>
      <c r="C22" s="6" t="s">
        <v>99</v>
      </c>
      <c r="D22" s="6" t="s">
        <v>5</v>
      </c>
      <c r="E22" s="6" t="s">
        <v>8</v>
      </c>
      <c r="F22" s="6" t="s">
        <v>59</v>
      </c>
      <c r="G22" s="6"/>
      <c r="H22" s="7"/>
      <c r="I22" s="7"/>
      <c r="J22" s="7"/>
      <c r="K22" s="7"/>
      <c r="L22" s="7"/>
      <c r="M22" s="7"/>
      <c r="N22" s="7"/>
      <c r="O22" s="7"/>
      <c r="P22" s="7"/>
      <c r="Q22" s="7"/>
      <c r="R22" s="7"/>
      <c r="S22" s="7"/>
      <c r="T22" s="7"/>
      <c r="U22" s="7"/>
      <c r="V22" s="7"/>
      <c r="W22" s="7"/>
      <c r="X22" s="7"/>
      <c r="Y22" s="7"/>
      <c r="Z22" s="7"/>
    </row>
    <row r="23" spans="1:26">
      <c r="A23" s="6" t="s">
        <v>100</v>
      </c>
      <c r="B23" s="6" t="s">
        <v>19</v>
      </c>
      <c r="C23" s="6" t="s">
        <v>101</v>
      </c>
      <c r="D23" s="6" t="s">
        <v>5</v>
      </c>
      <c r="E23" s="6" t="s">
        <v>8</v>
      </c>
      <c r="F23" s="6" t="s">
        <v>59</v>
      </c>
      <c r="G23" s="6"/>
      <c r="H23" s="7"/>
      <c r="I23" s="7"/>
      <c r="J23" s="7"/>
      <c r="K23" s="7"/>
      <c r="L23" s="7"/>
      <c r="M23" s="7"/>
      <c r="N23" s="7"/>
      <c r="O23" s="7"/>
      <c r="P23" s="7"/>
      <c r="Q23" s="7"/>
      <c r="R23" s="7"/>
      <c r="S23" s="7"/>
      <c r="T23" s="7"/>
      <c r="U23" s="7"/>
      <c r="V23" s="7"/>
      <c r="W23" s="7"/>
      <c r="X23" s="7"/>
      <c r="Y23" s="7"/>
      <c r="Z23" s="7"/>
    </row>
    <row r="24" spans="1:26">
      <c r="A24" s="6" t="s">
        <v>102</v>
      </c>
      <c r="B24" s="6" t="s">
        <v>19</v>
      </c>
      <c r="C24" s="6" t="s">
        <v>103</v>
      </c>
      <c r="D24" s="6" t="s">
        <v>5</v>
      </c>
      <c r="E24" s="6" t="s">
        <v>8</v>
      </c>
      <c r="F24" s="6" t="s">
        <v>59</v>
      </c>
      <c r="G24" s="6"/>
      <c r="H24" s="7"/>
      <c r="I24" s="7"/>
      <c r="J24" s="7"/>
      <c r="K24" s="7"/>
      <c r="L24" s="7"/>
      <c r="M24" s="7"/>
      <c r="N24" s="7"/>
      <c r="O24" s="7"/>
      <c r="P24" s="7"/>
      <c r="Q24" s="7"/>
      <c r="R24" s="7"/>
      <c r="S24" s="7"/>
      <c r="T24" s="7"/>
      <c r="U24" s="7"/>
      <c r="V24" s="7"/>
      <c r="W24" s="7"/>
      <c r="X24" s="7"/>
      <c r="Y24" s="7"/>
      <c r="Z24" s="7"/>
    </row>
    <row r="25" spans="1:26" ht="42.75">
      <c r="A25" s="6" t="s">
        <v>104</v>
      </c>
      <c r="B25" s="6" t="s">
        <v>19</v>
      </c>
      <c r="C25" s="6" t="s">
        <v>105</v>
      </c>
      <c r="D25" s="6" t="s">
        <v>9</v>
      </c>
      <c r="E25" s="6" t="s">
        <v>11</v>
      </c>
      <c r="F25" s="6" t="s">
        <v>59</v>
      </c>
      <c r="G25" s="6" t="s">
        <v>364</v>
      </c>
      <c r="H25" s="7"/>
      <c r="I25" s="7"/>
      <c r="J25" s="7"/>
      <c r="K25" s="7"/>
      <c r="L25" s="7"/>
      <c r="M25" s="7"/>
      <c r="N25" s="7"/>
      <c r="O25" s="7"/>
      <c r="P25" s="7"/>
      <c r="Q25" s="7"/>
      <c r="R25" s="7"/>
      <c r="S25" s="7"/>
      <c r="T25" s="7"/>
      <c r="U25" s="7"/>
      <c r="V25" s="7"/>
      <c r="W25" s="7"/>
      <c r="X25" s="7"/>
      <c r="Y25" s="7"/>
      <c r="Z25" s="7"/>
    </row>
    <row r="26" spans="1:26">
      <c r="A26" s="6" t="s">
        <v>106</v>
      </c>
      <c r="B26" s="6" t="s">
        <v>19</v>
      </c>
      <c r="C26" s="6" t="s">
        <v>107</v>
      </c>
      <c r="D26" s="6" t="s">
        <v>9</v>
      </c>
      <c r="E26" s="6" t="s">
        <v>8</v>
      </c>
      <c r="F26" s="6" t="s">
        <v>59</v>
      </c>
      <c r="G26" s="6"/>
      <c r="H26" s="7"/>
      <c r="I26" s="7"/>
      <c r="J26" s="7"/>
      <c r="K26" s="7"/>
      <c r="L26" s="7"/>
      <c r="M26" s="7"/>
      <c r="N26" s="7"/>
      <c r="O26" s="7"/>
      <c r="P26" s="7"/>
      <c r="Q26" s="7"/>
      <c r="R26" s="7"/>
      <c r="S26" s="7"/>
      <c r="T26" s="7"/>
      <c r="U26" s="7"/>
      <c r="V26" s="7"/>
      <c r="W26" s="7"/>
      <c r="X26" s="7"/>
      <c r="Y26" s="7"/>
      <c r="Z26" s="7"/>
    </row>
    <row r="27" spans="1:26">
      <c r="A27" s="6" t="s">
        <v>108</v>
      </c>
      <c r="B27" s="6" t="s">
        <v>20</v>
      </c>
      <c r="C27" s="6" t="s">
        <v>109</v>
      </c>
      <c r="D27" s="6" t="s">
        <v>9</v>
      </c>
      <c r="E27" s="6" t="s">
        <v>8</v>
      </c>
      <c r="F27" s="6" t="s">
        <v>59</v>
      </c>
      <c r="G27" s="6"/>
      <c r="H27" s="7"/>
      <c r="I27" s="7"/>
      <c r="J27" s="7"/>
      <c r="K27" s="7"/>
      <c r="L27" s="7"/>
      <c r="M27" s="7"/>
      <c r="N27" s="7"/>
      <c r="O27" s="7"/>
      <c r="P27" s="7"/>
      <c r="Q27" s="7"/>
      <c r="R27" s="7"/>
      <c r="S27" s="7"/>
      <c r="T27" s="7"/>
      <c r="U27" s="7"/>
      <c r="V27" s="7"/>
      <c r="W27" s="7"/>
      <c r="X27" s="7"/>
      <c r="Y27" s="7"/>
      <c r="Z27" s="7"/>
    </row>
    <row r="28" spans="1:26" ht="57">
      <c r="A28" s="6" t="s">
        <v>110</v>
      </c>
      <c r="B28" s="6" t="s">
        <v>20</v>
      </c>
      <c r="C28" s="6" t="s">
        <v>111</v>
      </c>
      <c r="D28" s="6" t="s">
        <v>9</v>
      </c>
      <c r="E28" s="6" t="s">
        <v>11</v>
      </c>
      <c r="F28" s="6" t="s">
        <v>59</v>
      </c>
      <c r="G28" s="6" t="s">
        <v>365</v>
      </c>
      <c r="H28" s="7"/>
      <c r="I28" s="7"/>
      <c r="J28" s="7"/>
      <c r="K28" s="7"/>
      <c r="L28" s="7"/>
      <c r="M28" s="7"/>
      <c r="N28" s="7"/>
      <c r="O28" s="7"/>
      <c r="P28" s="7"/>
      <c r="Q28" s="7"/>
      <c r="R28" s="7"/>
      <c r="S28" s="7"/>
      <c r="T28" s="7"/>
      <c r="U28" s="7"/>
      <c r="V28" s="7"/>
      <c r="W28" s="7"/>
      <c r="X28" s="7"/>
      <c r="Y28" s="7"/>
      <c r="Z28" s="7"/>
    </row>
    <row r="29" spans="1:26">
      <c r="A29" s="6" t="s">
        <v>112</v>
      </c>
      <c r="B29" s="6" t="s">
        <v>21</v>
      </c>
      <c r="C29" s="6" t="s">
        <v>113</v>
      </c>
      <c r="D29" s="6" t="s">
        <v>5</v>
      </c>
      <c r="E29" s="6" t="s">
        <v>8</v>
      </c>
      <c r="F29" s="6" t="s">
        <v>59</v>
      </c>
      <c r="G29" s="6"/>
      <c r="H29" s="7"/>
      <c r="I29" s="7"/>
      <c r="J29" s="7"/>
      <c r="K29" s="7"/>
      <c r="L29" s="7"/>
      <c r="M29" s="7"/>
      <c r="N29" s="7"/>
      <c r="O29" s="7"/>
      <c r="P29" s="7"/>
      <c r="Q29" s="7"/>
      <c r="R29" s="7"/>
      <c r="S29" s="7"/>
      <c r="T29" s="7"/>
      <c r="U29" s="7"/>
      <c r="V29" s="7"/>
      <c r="W29" s="7"/>
      <c r="X29" s="7"/>
      <c r="Y29" s="7"/>
      <c r="Z29" s="7"/>
    </row>
    <row r="30" spans="1:26">
      <c r="A30" s="6" t="s">
        <v>114</v>
      </c>
      <c r="B30" s="6" t="s">
        <v>21</v>
      </c>
      <c r="C30" s="6" t="s">
        <v>115</v>
      </c>
      <c r="D30" s="6" t="s">
        <v>5</v>
      </c>
      <c r="E30" s="6" t="s">
        <v>8</v>
      </c>
      <c r="F30" s="6" t="s">
        <v>59</v>
      </c>
      <c r="G30" s="6"/>
      <c r="H30" s="7"/>
      <c r="I30" s="7"/>
      <c r="J30" s="7"/>
      <c r="K30" s="7"/>
      <c r="L30" s="7"/>
      <c r="M30" s="7"/>
      <c r="N30" s="7"/>
      <c r="O30" s="7"/>
      <c r="P30" s="7"/>
      <c r="Q30" s="7"/>
      <c r="R30" s="7"/>
      <c r="S30" s="7"/>
      <c r="T30" s="7"/>
      <c r="U30" s="7"/>
      <c r="V30" s="7"/>
      <c r="W30" s="7"/>
      <c r="X30" s="7"/>
      <c r="Y30" s="7"/>
      <c r="Z30" s="7"/>
    </row>
    <row r="31" spans="1:26" ht="57">
      <c r="A31" s="6" t="s">
        <v>116</v>
      </c>
      <c r="B31" s="6" t="s">
        <v>21</v>
      </c>
      <c r="C31" s="6" t="s">
        <v>117</v>
      </c>
      <c r="D31" s="6" t="s">
        <v>9</v>
      </c>
      <c r="E31" s="6" t="s">
        <v>14</v>
      </c>
      <c r="F31" s="6" t="s">
        <v>59</v>
      </c>
      <c r="G31" s="6" t="s">
        <v>368</v>
      </c>
      <c r="H31" s="7"/>
      <c r="I31" s="7"/>
      <c r="J31" s="7"/>
      <c r="K31" s="7"/>
      <c r="L31" s="7"/>
      <c r="M31" s="7"/>
      <c r="N31" s="7"/>
      <c r="O31" s="7"/>
      <c r="P31" s="7"/>
      <c r="Q31" s="7"/>
      <c r="R31" s="7"/>
      <c r="S31" s="7"/>
      <c r="T31" s="7"/>
      <c r="U31" s="7"/>
      <c r="V31" s="7"/>
      <c r="W31" s="7"/>
      <c r="X31" s="7"/>
      <c r="Y31" s="7"/>
      <c r="Z31" s="7"/>
    </row>
    <row r="32" spans="1:26" ht="71.25">
      <c r="A32" s="6" t="s">
        <v>118</v>
      </c>
      <c r="B32" s="6" t="s">
        <v>21</v>
      </c>
      <c r="C32" s="6" t="s">
        <v>119</v>
      </c>
      <c r="D32" s="6" t="s">
        <v>9</v>
      </c>
      <c r="E32" s="6" t="s">
        <v>11</v>
      </c>
      <c r="F32" s="6" t="s">
        <v>59</v>
      </c>
      <c r="G32" s="6" t="s">
        <v>366</v>
      </c>
      <c r="H32" s="7"/>
      <c r="I32" s="7"/>
      <c r="J32" s="7"/>
      <c r="K32" s="7"/>
      <c r="L32" s="7"/>
      <c r="M32" s="7"/>
      <c r="N32" s="7"/>
      <c r="O32" s="7"/>
      <c r="P32" s="7"/>
      <c r="Q32" s="7"/>
      <c r="R32" s="7"/>
      <c r="S32" s="7"/>
      <c r="T32" s="7"/>
      <c r="U32" s="7"/>
      <c r="V32" s="7"/>
      <c r="W32" s="7"/>
      <c r="X32" s="7"/>
      <c r="Y32" s="7"/>
      <c r="Z32" s="7"/>
    </row>
    <row r="33" spans="1:26">
      <c r="A33" s="6" t="s">
        <v>120</v>
      </c>
      <c r="B33" s="6" t="s">
        <v>22</v>
      </c>
      <c r="C33" s="6" t="s">
        <v>121</v>
      </c>
      <c r="D33" s="6" t="s">
        <v>5</v>
      </c>
      <c r="E33" s="6" t="s">
        <v>8</v>
      </c>
      <c r="F33" s="6" t="s">
        <v>59</v>
      </c>
      <c r="G33" s="6"/>
      <c r="H33" s="7"/>
      <c r="I33" s="7"/>
      <c r="J33" s="7"/>
      <c r="K33" s="7"/>
      <c r="L33" s="7"/>
      <c r="M33" s="7"/>
      <c r="N33" s="7"/>
      <c r="O33" s="7"/>
      <c r="P33" s="7"/>
      <c r="Q33" s="7"/>
      <c r="R33" s="7"/>
      <c r="S33" s="7"/>
      <c r="T33" s="7"/>
      <c r="U33" s="7"/>
      <c r="V33" s="7"/>
      <c r="W33" s="7"/>
      <c r="X33" s="7"/>
      <c r="Y33" s="7"/>
      <c r="Z33" s="7"/>
    </row>
    <row r="34" spans="1:26">
      <c r="A34" s="6" t="s">
        <v>122</v>
      </c>
      <c r="B34" s="6" t="s">
        <v>22</v>
      </c>
      <c r="C34" s="6" t="s">
        <v>123</v>
      </c>
      <c r="D34" s="6" t="s">
        <v>5</v>
      </c>
      <c r="E34" s="6" t="s">
        <v>8</v>
      </c>
      <c r="F34" s="6" t="s">
        <v>59</v>
      </c>
      <c r="G34" s="6"/>
      <c r="H34" s="7"/>
      <c r="I34" s="7"/>
      <c r="J34" s="7"/>
      <c r="K34" s="7"/>
      <c r="L34" s="7"/>
      <c r="M34" s="7"/>
      <c r="N34" s="7"/>
      <c r="O34" s="7"/>
      <c r="P34" s="7"/>
      <c r="Q34" s="7"/>
      <c r="R34" s="7"/>
      <c r="S34" s="7"/>
      <c r="T34" s="7"/>
      <c r="U34" s="7"/>
      <c r="V34" s="7"/>
      <c r="W34" s="7"/>
      <c r="X34" s="7"/>
      <c r="Y34" s="7"/>
      <c r="Z34" s="7"/>
    </row>
    <row r="35" spans="1:26">
      <c r="A35" s="6" t="s">
        <v>124</v>
      </c>
      <c r="B35" s="6" t="s">
        <v>22</v>
      </c>
      <c r="C35" s="6" t="s">
        <v>125</v>
      </c>
      <c r="D35" s="6" t="s">
        <v>9</v>
      </c>
      <c r="E35" s="6" t="s">
        <v>8</v>
      </c>
      <c r="F35" s="6" t="s">
        <v>59</v>
      </c>
      <c r="G35" s="6"/>
      <c r="H35" s="7"/>
      <c r="I35" s="7"/>
      <c r="J35" s="7"/>
      <c r="K35" s="7"/>
      <c r="L35" s="7"/>
      <c r="M35" s="7"/>
      <c r="N35" s="7"/>
      <c r="O35" s="7"/>
      <c r="P35" s="7"/>
      <c r="Q35" s="7"/>
      <c r="R35" s="7"/>
      <c r="S35" s="7"/>
      <c r="T35" s="7"/>
      <c r="U35" s="7"/>
      <c r="V35" s="7"/>
      <c r="W35" s="7"/>
      <c r="X35" s="7"/>
      <c r="Y35" s="7"/>
      <c r="Z35" s="7"/>
    </row>
    <row r="36" spans="1:26">
      <c r="A36" s="6" t="s">
        <v>126</v>
      </c>
      <c r="B36" s="6" t="s">
        <v>22</v>
      </c>
      <c r="C36" s="6" t="s">
        <v>127</v>
      </c>
      <c r="D36" s="6" t="s">
        <v>5</v>
      </c>
      <c r="E36" s="6" t="s">
        <v>8</v>
      </c>
      <c r="F36" s="6" t="s">
        <v>59</v>
      </c>
      <c r="G36" s="6"/>
      <c r="H36" s="7"/>
      <c r="I36" s="7"/>
      <c r="J36" s="7"/>
      <c r="K36" s="7"/>
      <c r="L36" s="7"/>
      <c r="M36" s="7"/>
      <c r="N36" s="7"/>
      <c r="O36" s="7"/>
      <c r="P36" s="7"/>
      <c r="Q36" s="7"/>
      <c r="R36" s="7"/>
      <c r="S36" s="7"/>
      <c r="T36" s="7"/>
      <c r="U36" s="7"/>
      <c r="V36" s="7"/>
      <c r="W36" s="7"/>
      <c r="X36" s="7"/>
      <c r="Y36" s="7"/>
      <c r="Z36" s="7"/>
    </row>
    <row r="37" spans="1:26">
      <c r="A37" s="6" t="s">
        <v>128</v>
      </c>
      <c r="B37" s="6" t="s">
        <v>22</v>
      </c>
      <c r="C37" s="6" t="s">
        <v>129</v>
      </c>
      <c r="D37" s="6" t="s">
        <v>5</v>
      </c>
      <c r="E37" s="6" t="s">
        <v>8</v>
      </c>
      <c r="F37" s="6" t="s">
        <v>59</v>
      </c>
      <c r="G37" s="6"/>
      <c r="H37" s="7"/>
      <c r="I37" s="7"/>
      <c r="J37" s="7"/>
      <c r="K37" s="7"/>
      <c r="L37" s="7"/>
      <c r="M37" s="7"/>
      <c r="N37" s="7"/>
      <c r="O37" s="7"/>
      <c r="P37" s="7"/>
      <c r="Q37" s="7"/>
      <c r="R37" s="7"/>
      <c r="S37" s="7"/>
      <c r="T37" s="7"/>
      <c r="U37" s="7"/>
      <c r="V37" s="7"/>
      <c r="W37" s="7"/>
      <c r="X37" s="7"/>
      <c r="Y37" s="7"/>
      <c r="Z37" s="7"/>
    </row>
    <row r="38" spans="1:26">
      <c r="A38" s="6" t="s">
        <v>130</v>
      </c>
      <c r="B38" s="6" t="s">
        <v>22</v>
      </c>
      <c r="C38" s="6" t="s">
        <v>131</v>
      </c>
      <c r="D38" s="6" t="s">
        <v>9</v>
      </c>
      <c r="E38" s="6" t="s">
        <v>8</v>
      </c>
      <c r="F38" s="6" t="s">
        <v>59</v>
      </c>
      <c r="G38" s="6"/>
      <c r="H38" s="7"/>
      <c r="I38" s="7"/>
      <c r="J38" s="7"/>
      <c r="K38" s="7"/>
      <c r="L38" s="7"/>
      <c r="M38" s="7"/>
      <c r="N38" s="7"/>
      <c r="O38" s="7"/>
      <c r="P38" s="7"/>
      <c r="Q38" s="7"/>
      <c r="R38" s="7"/>
      <c r="S38" s="7"/>
      <c r="T38" s="7"/>
      <c r="U38" s="7"/>
      <c r="V38" s="7"/>
      <c r="W38" s="7"/>
      <c r="X38" s="7"/>
      <c r="Y38" s="7"/>
      <c r="Z38" s="7"/>
    </row>
    <row r="39" spans="1:26">
      <c r="A39" s="6" t="s">
        <v>132</v>
      </c>
      <c r="B39" s="6" t="s">
        <v>22</v>
      </c>
      <c r="C39" s="6" t="s">
        <v>133</v>
      </c>
      <c r="D39" s="6" t="s">
        <v>9</v>
      </c>
      <c r="E39" s="6" t="s">
        <v>8</v>
      </c>
      <c r="F39" s="6" t="s">
        <v>59</v>
      </c>
      <c r="G39" s="6"/>
      <c r="H39" s="7"/>
      <c r="I39" s="7"/>
      <c r="J39" s="7"/>
      <c r="K39" s="7"/>
      <c r="L39" s="7"/>
      <c r="M39" s="7"/>
      <c r="N39" s="7"/>
      <c r="O39" s="7"/>
      <c r="P39" s="7"/>
      <c r="Q39" s="7"/>
      <c r="R39" s="7"/>
      <c r="S39" s="7"/>
      <c r="T39" s="7"/>
      <c r="U39" s="7"/>
      <c r="V39" s="7"/>
      <c r="W39" s="7"/>
      <c r="X39" s="7"/>
      <c r="Y39" s="7"/>
      <c r="Z39" s="7"/>
    </row>
    <row r="40" spans="1:26">
      <c r="A40" s="6" t="s">
        <v>134</v>
      </c>
      <c r="B40" s="6" t="s">
        <v>23</v>
      </c>
      <c r="C40" s="6" t="s">
        <v>135</v>
      </c>
      <c r="D40" s="6" t="s">
        <v>5</v>
      </c>
      <c r="E40" s="6" t="s">
        <v>8</v>
      </c>
      <c r="F40" s="6" t="s">
        <v>59</v>
      </c>
      <c r="G40" s="6"/>
      <c r="H40" s="7"/>
      <c r="I40" s="7"/>
      <c r="J40" s="7"/>
      <c r="K40" s="7"/>
      <c r="L40" s="7"/>
      <c r="M40" s="7"/>
      <c r="N40" s="7"/>
      <c r="O40" s="7"/>
      <c r="P40" s="7"/>
      <c r="Q40" s="7"/>
      <c r="R40" s="7"/>
      <c r="S40" s="7"/>
      <c r="T40" s="7"/>
      <c r="U40" s="7"/>
      <c r="V40" s="7"/>
      <c r="W40" s="7"/>
      <c r="X40" s="7"/>
      <c r="Y40" s="7"/>
      <c r="Z40" s="7"/>
    </row>
    <row r="41" spans="1:26">
      <c r="A41" s="6" t="s">
        <v>136</v>
      </c>
      <c r="B41" s="6" t="s">
        <v>23</v>
      </c>
      <c r="C41" s="6" t="s">
        <v>137</v>
      </c>
      <c r="D41" s="6" t="s">
        <v>5</v>
      </c>
      <c r="E41" s="6" t="s">
        <v>8</v>
      </c>
      <c r="F41" s="6" t="s">
        <v>59</v>
      </c>
      <c r="G41" s="6"/>
      <c r="H41" s="7"/>
      <c r="I41" s="7"/>
      <c r="J41" s="7"/>
      <c r="K41" s="7"/>
      <c r="L41" s="7"/>
      <c r="M41" s="7"/>
      <c r="N41" s="7"/>
      <c r="O41" s="7"/>
      <c r="P41" s="7"/>
      <c r="Q41" s="7"/>
      <c r="R41" s="7"/>
      <c r="S41" s="7"/>
      <c r="T41" s="7"/>
      <c r="U41" s="7"/>
      <c r="V41" s="7"/>
      <c r="W41" s="7"/>
      <c r="X41" s="7"/>
      <c r="Y41" s="7"/>
      <c r="Z41" s="7"/>
    </row>
    <row r="42" spans="1:26">
      <c r="A42" s="6" t="s">
        <v>138</v>
      </c>
      <c r="B42" s="6" t="s">
        <v>23</v>
      </c>
      <c r="C42" s="6" t="s">
        <v>139</v>
      </c>
      <c r="D42" s="6" t="s">
        <v>5</v>
      </c>
      <c r="E42" s="6" t="s">
        <v>8</v>
      </c>
      <c r="F42" s="6" t="s">
        <v>59</v>
      </c>
      <c r="G42" s="6"/>
      <c r="H42" s="7"/>
      <c r="I42" s="7"/>
      <c r="J42" s="7"/>
      <c r="K42" s="7"/>
      <c r="L42" s="7"/>
      <c r="M42" s="7"/>
      <c r="N42" s="7"/>
      <c r="O42" s="7"/>
      <c r="P42" s="7"/>
      <c r="Q42" s="7"/>
      <c r="R42" s="7"/>
      <c r="S42" s="7"/>
      <c r="T42" s="7"/>
      <c r="U42" s="7"/>
      <c r="V42" s="7"/>
      <c r="W42" s="7"/>
      <c r="X42" s="7"/>
      <c r="Y42" s="7"/>
      <c r="Z42" s="7"/>
    </row>
    <row r="43" spans="1:26" ht="71.25">
      <c r="A43" s="6" t="s">
        <v>140</v>
      </c>
      <c r="B43" s="6" t="s">
        <v>23</v>
      </c>
      <c r="C43" s="6" t="s">
        <v>141</v>
      </c>
      <c r="D43" s="6" t="s">
        <v>9</v>
      </c>
      <c r="E43" s="6" t="s">
        <v>8</v>
      </c>
      <c r="F43" s="6" t="s">
        <v>59</v>
      </c>
      <c r="G43" s="6" t="s">
        <v>367</v>
      </c>
      <c r="H43" s="7"/>
      <c r="I43" s="7"/>
      <c r="J43" s="7"/>
      <c r="K43" s="7"/>
      <c r="L43" s="7"/>
      <c r="M43" s="7"/>
      <c r="N43" s="7"/>
      <c r="O43" s="7"/>
      <c r="P43" s="7"/>
      <c r="Q43" s="7"/>
      <c r="R43" s="7"/>
      <c r="S43" s="7"/>
      <c r="T43" s="7"/>
      <c r="U43" s="7"/>
      <c r="V43" s="7"/>
      <c r="W43" s="7"/>
      <c r="X43" s="7"/>
      <c r="Y43" s="7"/>
      <c r="Z43" s="7"/>
    </row>
    <row r="44" spans="1:26">
      <c r="A44" s="6" t="s">
        <v>142</v>
      </c>
      <c r="B44" s="6" t="s">
        <v>23</v>
      </c>
      <c r="C44" s="6" t="s">
        <v>143</v>
      </c>
      <c r="D44" s="6" t="s">
        <v>5</v>
      </c>
      <c r="E44" s="6" t="s">
        <v>8</v>
      </c>
      <c r="F44" s="6" t="s">
        <v>59</v>
      </c>
      <c r="G44" s="6"/>
      <c r="H44" s="7"/>
      <c r="I44" s="7"/>
      <c r="J44" s="7"/>
      <c r="K44" s="7"/>
      <c r="L44" s="7"/>
      <c r="M44" s="7"/>
      <c r="N44" s="7"/>
      <c r="O44" s="7"/>
      <c r="P44" s="7"/>
      <c r="Q44" s="7"/>
      <c r="R44" s="7"/>
      <c r="S44" s="7"/>
      <c r="T44" s="7"/>
      <c r="U44" s="7"/>
      <c r="V44" s="7"/>
      <c r="W44" s="7"/>
      <c r="X44" s="7"/>
      <c r="Y44" s="7"/>
      <c r="Z44" s="7"/>
    </row>
    <row r="45" spans="1:26" ht="114">
      <c r="A45" s="6" t="s">
        <v>144</v>
      </c>
      <c r="B45" s="6" t="s">
        <v>24</v>
      </c>
      <c r="C45" s="6" t="s">
        <v>145</v>
      </c>
      <c r="D45" s="6" t="s">
        <v>5</v>
      </c>
      <c r="E45" s="6" t="s">
        <v>11</v>
      </c>
      <c r="F45" s="6" t="s">
        <v>59</v>
      </c>
      <c r="G45" s="6" t="s">
        <v>466</v>
      </c>
      <c r="H45" s="7"/>
      <c r="I45" s="7"/>
      <c r="J45" s="7"/>
      <c r="K45" s="7"/>
      <c r="L45" s="7"/>
      <c r="M45" s="7"/>
      <c r="N45" s="7"/>
      <c r="O45" s="7"/>
      <c r="P45" s="7"/>
      <c r="Q45" s="7"/>
      <c r="R45" s="7"/>
      <c r="S45" s="7"/>
      <c r="T45" s="7"/>
      <c r="U45" s="7"/>
      <c r="V45" s="7"/>
      <c r="W45" s="7"/>
      <c r="X45" s="7"/>
      <c r="Y45" s="7"/>
      <c r="Z45" s="7"/>
    </row>
    <row r="46" spans="1:26">
      <c r="A46" s="6" t="s">
        <v>146</v>
      </c>
      <c r="B46" s="6" t="s">
        <v>24</v>
      </c>
      <c r="C46" s="6" t="s">
        <v>147</v>
      </c>
      <c r="D46" s="6" t="s">
        <v>9</v>
      </c>
      <c r="E46" s="6" t="s">
        <v>8</v>
      </c>
      <c r="F46" s="6" t="s">
        <v>59</v>
      </c>
      <c r="G46" s="6"/>
      <c r="H46" s="7"/>
      <c r="I46" s="7"/>
      <c r="J46" s="7"/>
      <c r="K46" s="7"/>
      <c r="L46" s="7"/>
      <c r="M46" s="7"/>
      <c r="N46" s="7"/>
      <c r="O46" s="7"/>
      <c r="P46" s="7"/>
      <c r="Q46" s="7"/>
      <c r="R46" s="7"/>
      <c r="S46" s="7"/>
      <c r="T46" s="7"/>
      <c r="U46" s="7"/>
      <c r="V46" s="7"/>
      <c r="W46" s="7"/>
      <c r="X46" s="7"/>
      <c r="Y46" s="7"/>
      <c r="Z46" s="7"/>
    </row>
    <row r="47" spans="1:26">
      <c r="A47" s="6" t="s">
        <v>148</v>
      </c>
      <c r="B47" s="6" t="s">
        <v>24</v>
      </c>
      <c r="C47" s="6" t="s">
        <v>149</v>
      </c>
      <c r="D47" s="6" t="s">
        <v>9</v>
      </c>
      <c r="E47" s="6" t="s">
        <v>8</v>
      </c>
      <c r="F47" s="6" t="s">
        <v>59</v>
      </c>
      <c r="G47" s="6"/>
      <c r="H47" s="7"/>
      <c r="I47" s="7"/>
      <c r="J47" s="7"/>
      <c r="K47" s="7"/>
      <c r="L47" s="7"/>
      <c r="M47" s="7"/>
      <c r="N47" s="7"/>
      <c r="O47" s="7"/>
      <c r="P47" s="7"/>
      <c r="Q47" s="7"/>
      <c r="R47" s="7"/>
      <c r="S47" s="7"/>
      <c r="T47" s="7"/>
      <c r="U47" s="7"/>
      <c r="V47" s="7"/>
      <c r="W47" s="7"/>
      <c r="X47" s="7"/>
      <c r="Y47" s="7"/>
      <c r="Z47" s="7"/>
    </row>
    <row r="48" spans="1:26">
      <c r="A48" s="6" t="s">
        <v>150</v>
      </c>
      <c r="B48" s="6" t="s">
        <v>26</v>
      </c>
      <c r="C48" s="6" t="s">
        <v>151</v>
      </c>
      <c r="D48" s="6" t="s">
        <v>9</v>
      </c>
      <c r="E48" s="6" t="s">
        <v>8</v>
      </c>
      <c r="F48" s="6" t="s">
        <v>59</v>
      </c>
      <c r="G48" s="6"/>
      <c r="H48" s="7"/>
      <c r="I48" s="7"/>
      <c r="J48" s="7"/>
      <c r="K48" s="7"/>
      <c r="L48" s="7"/>
      <c r="M48" s="7"/>
      <c r="N48" s="7"/>
      <c r="O48" s="7"/>
      <c r="P48" s="7"/>
      <c r="Q48" s="7"/>
      <c r="R48" s="7"/>
      <c r="S48" s="7"/>
      <c r="T48" s="7"/>
      <c r="U48" s="7"/>
      <c r="V48" s="7"/>
      <c r="W48" s="7"/>
      <c r="X48" s="7"/>
      <c r="Y48" s="7"/>
      <c r="Z48" s="7"/>
    </row>
    <row r="49" spans="1:26">
      <c r="A49" s="6" t="s">
        <v>152</v>
      </c>
      <c r="B49" s="6" t="s">
        <v>26</v>
      </c>
      <c r="C49" s="6" t="s">
        <v>153</v>
      </c>
      <c r="D49" s="6" t="s">
        <v>9</v>
      </c>
      <c r="E49" s="6" t="s">
        <v>8</v>
      </c>
      <c r="F49" s="6" t="s">
        <v>59</v>
      </c>
      <c r="G49" s="6"/>
      <c r="H49" s="7"/>
      <c r="I49" s="7"/>
      <c r="J49" s="7"/>
      <c r="K49" s="7"/>
      <c r="L49" s="7"/>
      <c r="M49" s="7"/>
      <c r="N49" s="7"/>
      <c r="O49" s="7"/>
      <c r="P49" s="7"/>
      <c r="Q49" s="7"/>
      <c r="R49" s="7"/>
      <c r="S49" s="7"/>
      <c r="T49" s="7"/>
      <c r="U49" s="7"/>
      <c r="V49" s="7"/>
      <c r="W49" s="7"/>
      <c r="X49" s="7"/>
      <c r="Y49" s="7"/>
      <c r="Z49" s="7"/>
    </row>
    <row r="50" spans="1:26">
      <c r="A50" s="6" t="s">
        <v>154</v>
      </c>
      <c r="B50" s="6" t="s">
        <v>26</v>
      </c>
      <c r="C50" s="6" t="s">
        <v>155</v>
      </c>
      <c r="D50" s="6" t="s">
        <v>5</v>
      </c>
      <c r="E50" s="6" t="s">
        <v>8</v>
      </c>
      <c r="F50" s="6" t="s">
        <v>59</v>
      </c>
      <c r="G50" s="6"/>
      <c r="H50" s="7"/>
      <c r="I50" s="7"/>
      <c r="J50" s="7"/>
      <c r="K50" s="7"/>
      <c r="L50" s="7"/>
      <c r="M50" s="7"/>
      <c r="N50" s="7"/>
      <c r="O50" s="7"/>
      <c r="P50" s="7"/>
      <c r="Q50" s="7"/>
      <c r="R50" s="7"/>
      <c r="S50" s="7"/>
      <c r="T50" s="7"/>
      <c r="U50" s="7"/>
      <c r="V50" s="7"/>
      <c r="W50" s="7"/>
      <c r="X50" s="7"/>
      <c r="Y50" s="7"/>
      <c r="Z50" s="7"/>
    </row>
    <row r="51" spans="1:26">
      <c r="A51" s="6" t="s">
        <v>156</v>
      </c>
      <c r="B51" s="6" t="s">
        <v>26</v>
      </c>
      <c r="C51" s="6" t="s">
        <v>157</v>
      </c>
      <c r="D51" s="6" t="s">
        <v>12</v>
      </c>
      <c r="E51" s="6" t="s">
        <v>8</v>
      </c>
      <c r="F51" s="6" t="s">
        <v>59</v>
      </c>
      <c r="G51" s="6"/>
      <c r="H51" s="7"/>
      <c r="I51" s="7"/>
      <c r="J51" s="7"/>
      <c r="K51" s="7"/>
      <c r="L51" s="7"/>
      <c r="M51" s="7"/>
      <c r="N51" s="7"/>
      <c r="O51" s="7"/>
      <c r="P51" s="7"/>
      <c r="Q51" s="7"/>
      <c r="R51" s="7"/>
      <c r="S51" s="7"/>
      <c r="T51" s="7"/>
      <c r="U51" s="7"/>
      <c r="V51" s="7"/>
      <c r="W51" s="7"/>
      <c r="X51" s="7"/>
      <c r="Y51" s="7"/>
      <c r="Z51" s="7"/>
    </row>
    <row r="52" spans="1:26">
      <c r="A52" s="6" t="s">
        <v>158</v>
      </c>
      <c r="B52" s="6" t="s">
        <v>25</v>
      </c>
      <c r="C52" s="6" t="s">
        <v>159</v>
      </c>
      <c r="D52" s="6" t="s">
        <v>5</v>
      </c>
      <c r="E52" s="6" t="s">
        <v>8</v>
      </c>
      <c r="F52" s="6" t="s">
        <v>59</v>
      </c>
      <c r="G52" s="6"/>
      <c r="H52" s="7"/>
      <c r="I52" s="7"/>
      <c r="J52" s="7"/>
      <c r="K52" s="7"/>
      <c r="L52" s="7"/>
      <c r="M52" s="7"/>
      <c r="N52" s="7"/>
      <c r="O52" s="7"/>
      <c r="P52" s="7"/>
      <c r="Q52" s="7"/>
      <c r="R52" s="7"/>
      <c r="S52" s="7"/>
      <c r="T52" s="7"/>
      <c r="U52" s="7"/>
      <c r="V52" s="7"/>
      <c r="W52" s="7"/>
      <c r="X52" s="7"/>
      <c r="Y52" s="7"/>
      <c r="Z52" s="7"/>
    </row>
    <row r="53" spans="1:26">
      <c r="A53" s="6" t="s">
        <v>160</v>
      </c>
      <c r="B53" s="6" t="s">
        <v>25</v>
      </c>
      <c r="C53" s="6" t="s">
        <v>161</v>
      </c>
      <c r="D53" s="6" t="s">
        <v>9</v>
      </c>
      <c r="E53" s="6" t="s">
        <v>8</v>
      </c>
      <c r="F53" s="6" t="s">
        <v>59</v>
      </c>
      <c r="G53" s="6"/>
      <c r="H53" s="7"/>
      <c r="I53" s="7"/>
      <c r="J53" s="7"/>
      <c r="K53" s="7"/>
      <c r="L53" s="7"/>
      <c r="M53" s="7"/>
      <c r="N53" s="7"/>
      <c r="O53" s="7"/>
      <c r="P53" s="7"/>
      <c r="Q53" s="7"/>
      <c r="R53" s="7"/>
      <c r="S53" s="7"/>
      <c r="T53" s="7"/>
      <c r="U53" s="7"/>
      <c r="V53" s="7"/>
      <c r="W53" s="7"/>
      <c r="X53" s="7"/>
      <c r="Y53" s="7"/>
      <c r="Z53" s="7"/>
    </row>
    <row r="54" spans="1:26">
      <c r="A54" s="6" t="s">
        <v>162</v>
      </c>
      <c r="B54" s="6" t="s">
        <v>25</v>
      </c>
      <c r="C54" s="6" t="s">
        <v>163</v>
      </c>
      <c r="D54" s="6" t="s">
        <v>5</v>
      </c>
      <c r="E54" s="6" t="s">
        <v>8</v>
      </c>
      <c r="F54" s="6" t="s">
        <v>59</v>
      </c>
      <c r="G54" s="6"/>
      <c r="H54" s="7"/>
      <c r="I54" s="7"/>
      <c r="J54" s="7"/>
      <c r="K54" s="7"/>
      <c r="L54" s="7"/>
      <c r="M54" s="7"/>
      <c r="N54" s="7"/>
      <c r="O54" s="7"/>
      <c r="P54" s="7"/>
      <c r="Q54" s="7"/>
      <c r="R54" s="7"/>
      <c r="S54" s="7"/>
      <c r="T54" s="7"/>
      <c r="U54" s="7"/>
      <c r="V54" s="7"/>
      <c r="W54" s="7"/>
      <c r="X54" s="7"/>
      <c r="Y54" s="7"/>
      <c r="Z54" s="7"/>
    </row>
    <row r="55" spans="1:26">
      <c r="A55" s="6" t="s">
        <v>164</v>
      </c>
      <c r="B55" s="6" t="s">
        <v>25</v>
      </c>
      <c r="C55" s="6" t="s">
        <v>165</v>
      </c>
      <c r="D55" s="6" t="s">
        <v>5</v>
      </c>
      <c r="E55" s="6" t="s">
        <v>8</v>
      </c>
      <c r="F55" s="6" t="s">
        <v>59</v>
      </c>
      <c r="G55" s="6"/>
      <c r="H55" s="7"/>
      <c r="I55" s="7"/>
      <c r="J55" s="7"/>
      <c r="K55" s="7"/>
      <c r="L55" s="7"/>
      <c r="M55" s="7"/>
      <c r="N55" s="7"/>
      <c r="O55" s="7"/>
      <c r="P55" s="7"/>
      <c r="Q55" s="7"/>
      <c r="R55" s="7"/>
      <c r="S55" s="7"/>
      <c r="T55" s="7"/>
      <c r="U55" s="7"/>
      <c r="V55" s="7"/>
      <c r="W55" s="7"/>
      <c r="X55" s="7"/>
      <c r="Y55" s="7"/>
      <c r="Z55" s="7"/>
    </row>
    <row r="56" spans="1:26">
      <c r="A56" s="6" t="s">
        <v>166</v>
      </c>
      <c r="B56" s="6" t="s">
        <v>25</v>
      </c>
      <c r="C56" s="6" t="s">
        <v>167</v>
      </c>
      <c r="D56" s="6" t="s">
        <v>9</v>
      </c>
      <c r="E56" s="6" t="s">
        <v>8</v>
      </c>
      <c r="F56" s="6" t="s">
        <v>59</v>
      </c>
      <c r="G56" s="6"/>
      <c r="H56" s="7"/>
      <c r="I56" s="7"/>
      <c r="J56" s="7"/>
      <c r="K56" s="7"/>
      <c r="L56" s="7"/>
      <c r="M56" s="7"/>
      <c r="N56" s="7"/>
      <c r="O56" s="7"/>
      <c r="P56" s="7"/>
      <c r="Q56" s="7"/>
      <c r="R56" s="7"/>
      <c r="S56" s="7"/>
      <c r="T56" s="7"/>
      <c r="U56" s="7"/>
      <c r="V56" s="7"/>
      <c r="W56" s="7"/>
      <c r="X56" s="7"/>
      <c r="Y56" s="7"/>
      <c r="Z56" s="7"/>
    </row>
    <row r="57" spans="1:26">
      <c r="A57" s="6" t="s">
        <v>168</v>
      </c>
      <c r="B57" s="6" t="s">
        <v>25</v>
      </c>
      <c r="C57" s="6" t="s">
        <v>169</v>
      </c>
      <c r="D57" s="6" t="s">
        <v>9</v>
      </c>
      <c r="E57" s="6" t="s">
        <v>8</v>
      </c>
      <c r="F57" s="6" t="s">
        <v>59</v>
      </c>
      <c r="G57" s="6"/>
      <c r="H57" s="7"/>
      <c r="I57" s="7"/>
      <c r="J57" s="7"/>
      <c r="K57" s="7"/>
      <c r="L57" s="7"/>
      <c r="M57" s="7"/>
      <c r="N57" s="7"/>
      <c r="O57" s="7"/>
      <c r="P57" s="7"/>
      <c r="Q57" s="7"/>
      <c r="R57" s="7"/>
      <c r="S57" s="7"/>
      <c r="T57" s="7"/>
      <c r="U57" s="7"/>
      <c r="V57" s="7"/>
      <c r="W57" s="7"/>
      <c r="X57" s="7"/>
      <c r="Y57" s="7"/>
      <c r="Z57" s="7"/>
    </row>
    <row r="58" spans="1:26">
      <c r="A58" s="6" t="s">
        <v>170</v>
      </c>
      <c r="B58" s="6" t="s">
        <v>27</v>
      </c>
      <c r="C58" s="6" t="s">
        <v>171</v>
      </c>
      <c r="D58" s="6" t="s">
        <v>9</v>
      </c>
      <c r="E58" s="6" t="s">
        <v>8</v>
      </c>
      <c r="F58" s="6" t="s">
        <v>59</v>
      </c>
      <c r="G58" s="6"/>
      <c r="H58" s="7"/>
      <c r="I58" s="7"/>
      <c r="J58" s="7"/>
      <c r="K58" s="7"/>
      <c r="L58" s="7"/>
      <c r="M58" s="7"/>
      <c r="N58" s="7"/>
      <c r="O58" s="7"/>
      <c r="P58" s="7"/>
      <c r="Q58" s="7"/>
      <c r="R58" s="7"/>
      <c r="S58" s="7"/>
      <c r="T58" s="7"/>
      <c r="U58" s="7"/>
      <c r="V58" s="7"/>
      <c r="W58" s="7"/>
      <c r="X58" s="7"/>
      <c r="Y58" s="7"/>
      <c r="Z58" s="7"/>
    </row>
    <row r="59" spans="1:26">
      <c r="A59" s="6" t="s">
        <v>172</v>
      </c>
      <c r="B59" s="6" t="s">
        <v>27</v>
      </c>
      <c r="C59" s="6" t="s">
        <v>173</v>
      </c>
      <c r="D59" s="6" t="s">
        <v>9</v>
      </c>
      <c r="E59" s="6" t="s">
        <v>8</v>
      </c>
      <c r="F59" s="6" t="s">
        <v>59</v>
      </c>
      <c r="G59" s="6"/>
      <c r="H59" s="7"/>
      <c r="I59" s="7"/>
      <c r="J59" s="7"/>
      <c r="K59" s="7"/>
      <c r="L59" s="7"/>
      <c r="M59" s="7"/>
      <c r="N59" s="7"/>
      <c r="O59" s="7"/>
      <c r="P59" s="7"/>
      <c r="Q59" s="7"/>
      <c r="R59" s="7"/>
      <c r="S59" s="7"/>
      <c r="T59" s="7"/>
      <c r="U59" s="7"/>
      <c r="V59" s="7"/>
      <c r="W59" s="7"/>
      <c r="X59" s="7"/>
      <c r="Y59" s="7"/>
      <c r="Z59" s="7"/>
    </row>
    <row r="60" spans="1:26">
      <c r="A60" s="6" t="s">
        <v>174</v>
      </c>
      <c r="B60" s="6" t="s">
        <v>27</v>
      </c>
      <c r="C60" s="6" t="s">
        <v>175</v>
      </c>
      <c r="D60" s="6" t="s">
        <v>9</v>
      </c>
      <c r="E60" s="6" t="s">
        <v>8</v>
      </c>
      <c r="F60" s="6" t="s">
        <v>59</v>
      </c>
      <c r="G60" s="6"/>
      <c r="H60" s="7"/>
      <c r="I60" s="7"/>
      <c r="J60" s="7"/>
      <c r="K60" s="7"/>
      <c r="L60" s="7"/>
      <c r="M60" s="7"/>
      <c r="N60" s="7"/>
      <c r="O60" s="7"/>
      <c r="P60" s="7"/>
      <c r="Q60" s="7"/>
      <c r="R60" s="7"/>
      <c r="S60" s="7"/>
      <c r="T60" s="7"/>
      <c r="U60" s="7"/>
      <c r="V60" s="7"/>
      <c r="W60" s="7"/>
      <c r="X60" s="7"/>
      <c r="Y60" s="7"/>
      <c r="Z60" s="7"/>
    </row>
    <row r="61" spans="1:26" ht="85.5">
      <c r="A61" s="6" t="s">
        <v>176</v>
      </c>
      <c r="B61" s="6" t="s">
        <v>27</v>
      </c>
      <c r="C61" s="6" t="s">
        <v>177</v>
      </c>
      <c r="D61" s="6" t="s">
        <v>9</v>
      </c>
      <c r="E61" s="6" t="s">
        <v>11</v>
      </c>
      <c r="F61" s="6" t="s">
        <v>59</v>
      </c>
      <c r="G61" s="6" t="s">
        <v>400</v>
      </c>
      <c r="H61" s="7"/>
      <c r="I61" s="7"/>
      <c r="J61" s="7"/>
      <c r="K61" s="7"/>
      <c r="L61" s="7"/>
      <c r="M61" s="7"/>
      <c r="N61" s="7"/>
      <c r="O61" s="7"/>
      <c r="P61" s="7"/>
      <c r="Q61" s="7"/>
      <c r="R61" s="7"/>
      <c r="S61" s="7"/>
      <c r="T61" s="7"/>
      <c r="U61" s="7"/>
      <c r="V61" s="7"/>
      <c r="W61" s="7"/>
      <c r="X61" s="7"/>
      <c r="Y61" s="7"/>
      <c r="Z61" s="7"/>
    </row>
    <row r="62" spans="1:26">
      <c r="A62" s="6" t="s">
        <v>178</v>
      </c>
      <c r="B62" s="6" t="s">
        <v>28</v>
      </c>
      <c r="C62" s="6" t="s">
        <v>179</v>
      </c>
      <c r="D62" s="6" t="s">
        <v>5</v>
      </c>
      <c r="E62" s="6" t="s">
        <v>8</v>
      </c>
      <c r="F62" s="6" t="s">
        <v>59</v>
      </c>
      <c r="G62" s="6"/>
      <c r="H62" s="7"/>
      <c r="I62" s="7"/>
      <c r="J62" s="7"/>
      <c r="K62" s="7"/>
      <c r="L62" s="7"/>
      <c r="M62" s="7"/>
      <c r="N62" s="7"/>
      <c r="O62" s="7"/>
      <c r="P62" s="7"/>
      <c r="Q62" s="7"/>
      <c r="R62" s="7"/>
      <c r="S62" s="7"/>
      <c r="T62" s="7"/>
      <c r="U62" s="7"/>
      <c r="V62" s="7"/>
      <c r="W62" s="7"/>
      <c r="X62" s="7"/>
      <c r="Y62" s="7"/>
      <c r="Z62" s="7"/>
    </row>
    <row r="63" spans="1:26">
      <c r="A63" s="6" t="s">
        <v>180</v>
      </c>
      <c r="B63" s="6" t="s">
        <v>28</v>
      </c>
      <c r="C63" s="6" t="s">
        <v>181</v>
      </c>
      <c r="D63" s="6" t="s">
        <v>5</v>
      </c>
      <c r="E63" s="6" t="s">
        <v>8</v>
      </c>
      <c r="F63" s="6" t="s">
        <v>59</v>
      </c>
      <c r="G63" s="6"/>
      <c r="H63" s="7"/>
      <c r="I63" s="7"/>
      <c r="J63" s="7"/>
      <c r="K63" s="7"/>
      <c r="L63" s="7"/>
      <c r="M63" s="7"/>
      <c r="N63" s="7"/>
      <c r="O63" s="7"/>
      <c r="P63" s="7"/>
      <c r="Q63" s="7"/>
      <c r="R63" s="7"/>
      <c r="S63" s="7"/>
      <c r="T63" s="7"/>
      <c r="U63" s="7"/>
      <c r="V63" s="7"/>
      <c r="W63" s="7"/>
      <c r="X63" s="7"/>
      <c r="Y63" s="7"/>
      <c r="Z63" s="7"/>
    </row>
    <row r="64" spans="1:26">
      <c r="A64" s="6" t="s">
        <v>182</v>
      </c>
      <c r="B64" s="6" t="s">
        <v>28</v>
      </c>
      <c r="C64" s="6" t="s">
        <v>183</v>
      </c>
      <c r="D64" s="6" t="s">
        <v>5</v>
      </c>
      <c r="E64" s="6" t="s">
        <v>8</v>
      </c>
      <c r="F64" s="6" t="s">
        <v>59</v>
      </c>
      <c r="G64" s="6"/>
      <c r="H64" s="7"/>
      <c r="I64" s="7"/>
      <c r="J64" s="7"/>
      <c r="K64" s="7"/>
      <c r="L64" s="7"/>
      <c r="M64" s="7"/>
      <c r="N64" s="7"/>
      <c r="O64" s="7"/>
      <c r="P64" s="7"/>
      <c r="Q64" s="7"/>
      <c r="R64" s="7"/>
      <c r="S64" s="7"/>
      <c r="T64" s="7"/>
      <c r="U64" s="7"/>
      <c r="V64" s="7"/>
      <c r="W64" s="7"/>
      <c r="X64" s="7"/>
      <c r="Y64" s="7"/>
      <c r="Z64" s="7"/>
    </row>
    <row r="65" spans="1:26">
      <c r="A65" s="6" t="s">
        <v>184</v>
      </c>
      <c r="B65" s="6" t="s">
        <v>28</v>
      </c>
      <c r="C65" s="6" t="s">
        <v>185</v>
      </c>
      <c r="D65" s="6" t="s">
        <v>9</v>
      </c>
      <c r="E65" s="6" t="s">
        <v>8</v>
      </c>
      <c r="F65" s="6" t="s">
        <v>59</v>
      </c>
      <c r="G65" s="6"/>
      <c r="H65" s="7"/>
      <c r="I65" s="7"/>
      <c r="J65" s="7"/>
      <c r="K65" s="7"/>
      <c r="L65" s="7"/>
      <c r="M65" s="7"/>
      <c r="N65" s="7"/>
      <c r="O65" s="7"/>
      <c r="P65" s="7"/>
      <c r="Q65" s="7"/>
      <c r="R65" s="7"/>
      <c r="S65" s="7"/>
      <c r="T65" s="7"/>
      <c r="U65" s="7"/>
      <c r="V65" s="7"/>
      <c r="W65" s="7"/>
      <c r="X65" s="7"/>
      <c r="Y65" s="7"/>
      <c r="Z65" s="7"/>
    </row>
    <row r="66" spans="1:26">
      <c r="A66" s="6" t="s">
        <v>186</v>
      </c>
      <c r="B66" s="6" t="s">
        <v>187</v>
      </c>
      <c r="C66" s="6" t="s">
        <v>188</v>
      </c>
      <c r="D66" s="6" t="s">
        <v>12</v>
      </c>
      <c r="E66" s="6" t="s">
        <v>8</v>
      </c>
      <c r="F66" s="6" t="s">
        <v>59</v>
      </c>
      <c r="G66" s="6"/>
      <c r="H66" s="7"/>
      <c r="I66" s="7"/>
      <c r="J66" s="7"/>
      <c r="K66" s="7"/>
      <c r="L66" s="7"/>
      <c r="M66" s="7"/>
      <c r="N66" s="7"/>
      <c r="O66" s="7"/>
      <c r="P66" s="7"/>
      <c r="Q66" s="7"/>
      <c r="R66" s="7"/>
      <c r="S66" s="7"/>
      <c r="T66" s="7"/>
      <c r="U66" s="7"/>
      <c r="V66" s="7"/>
      <c r="W66" s="7"/>
      <c r="X66" s="7"/>
      <c r="Y66" s="7"/>
      <c r="Z66" s="7"/>
    </row>
    <row r="67" spans="1:26">
      <c r="A67" s="6" t="s">
        <v>189</v>
      </c>
      <c r="B67" s="6" t="s">
        <v>187</v>
      </c>
      <c r="C67" s="6" t="s">
        <v>190</v>
      </c>
      <c r="D67" s="6" t="s">
        <v>12</v>
      </c>
      <c r="E67" s="6" t="s">
        <v>8</v>
      </c>
      <c r="F67" s="6" t="s">
        <v>59</v>
      </c>
      <c r="G67" s="6"/>
      <c r="H67" s="7"/>
      <c r="I67" s="7"/>
      <c r="J67" s="7"/>
      <c r="K67" s="7"/>
      <c r="L67" s="7"/>
      <c r="M67" s="7"/>
      <c r="N67" s="7"/>
      <c r="O67" s="7"/>
      <c r="P67" s="7"/>
      <c r="Q67" s="7"/>
      <c r="R67" s="7"/>
      <c r="S67" s="7"/>
      <c r="T67" s="7"/>
      <c r="U67" s="7"/>
      <c r="V67" s="7"/>
      <c r="W67" s="7"/>
      <c r="X67" s="7"/>
      <c r="Y67" s="7"/>
      <c r="Z67" s="7"/>
    </row>
    <row r="68" spans="1:26" ht="71.25">
      <c r="A68" t="s">
        <v>401</v>
      </c>
      <c r="B68" t="s">
        <v>27</v>
      </c>
      <c r="C68" t="s">
        <v>402</v>
      </c>
      <c r="D68" t="s">
        <v>9</v>
      </c>
      <c r="E68" s="10" t="s">
        <v>11</v>
      </c>
      <c r="F68" s="6" t="s">
        <v>59</v>
      </c>
      <c r="G68" s="6" t="s">
        <v>403</v>
      </c>
      <c r="H68" s="7"/>
      <c r="I68" s="7"/>
      <c r="J68" s="7"/>
      <c r="K68" s="7"/>
      <c r="L68" s="7"/>
      <c r="M68" s="7"/>
      <c r="N68" s="7"/>
      <c r="O68" s="7"/>
      <c r="P68" s="7"/>
      <c r="Q68" s="7"/>
      <c r="R68" s="7"/>
      <c r="S68" s="7"/>
      <c r="T68" s="7"/>
      <c r="U68" s="7"/>
      <c r="V68" s="7"/>
      <c r="W68" s="7"/>
      <c r="X68" s="7"/>
      <c r="Y68" s="7"/>
      <c r="Z68" s="7"/>
    </row>
    <row r="69" spans="1:26">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sheetData>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xr:uid="{00000000-0002-0000-0300-000000000000}">
          <x14:formula1>
            <xm:f>Data!$B$2:$B$4</xm:f>
          </x14:formula1>
          <xm:sqref>D2:D67</xm:sqref>
        </x14:dataValidation>
        <x14:dataValidation type="list" xr:uid="{00000000-0002-0000-0300-000001000000}">
          <x14:formula1>
            <xm:f>Data!$A$2:$A$6</xm:f>
          </x14:formula1>
          <xm:sqref>E2:E67</xm:sqref>
        </x14:dataValidation>
        <x14:dataValidation type="list" allowBlank="1" showInputMessage="1" showErrorMessage="1" xr:uid="{96B63132-C477-4DE9-AFF5-3DA92F27EA7F}">
          <x14:formula1>
            <xm:f>Data!$A$2:$A$6</xm:f>
          </x14:formula1>
          <xm:sqref>E68</xm:sqref>
        </x14:dataValidation>
        <x14:dataValidation type="list" allowBlank="1" showInputMessage="1" showErrorMessage="1" xr:uid="{A49C036E-8FF9-4830-9737-967DDFFDD1DD}">
          <x14:formula1>
            <xm:f>Data!$B$2:$B$4</xm:f>
          </x14:formula1>
          <xm:sqref>D68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200"/>
  <sheetViews>
    <sheetView tabSelected="1" zoomScale="85" zoomScaleNormal="85" workbookViewId="0">
      <selection activeCell="F8" sqref="F8"/>
    </sheetView>
  </sheetViews>
  <sheetFormatPr defaultRowHeight="14.25"/>
  <cols>
    <col min="1" max="1" width="14" customWidth="1"/>
    <col min="2" max="2" width="16" customWidth="1"/>
    <col min="3" max="3" width="34" customWidth="1"/>
    <col min="4" max="4" width="36" customWidth="1"/>
    <col min="5" max="5" width="26" customWidth="1"/>
    <col min="6" max="6" width="48" customWidth="1"/>
    <col min="7" max="7" width="50" customWidth="1"/>
    <col min="8" max="8" width="38" customWidth="1"/>
    <col min="9" max="9" width="12" customWidth="1"/>
    <col min="10" max="10" width="13" customWidth="1"/>
  </cols>
  <sheetData>
    <row r="1" spans="1:26" ht="27.95" customHeight="1">
      <c r="A1" s="5" t="s">
        <v>191</v>
      </c>
      <c r="B1" s="5" t="s">
        <v>3</v>
      </c>
      <c r="C1" s="5" t="s">
        <v>192</v>
      </c>
      <c r="D1" s="5" t="s">
        <v>193</v>
      </c>
      <c r="E1" s="5" t="s">
        <v>194</v>
      </c>
      <c r="F1" s="5" t="s">
        <v>195</v>
      </c>
      <c r="G1" s="5" t="s">
        <v>196</v>
      </c>
      <c r="H1" s="5" t="s">
        <v>197</v>
      </c>
      <c r="I1" s="5" t="s">
        <v>1</v>
      </c>
      <c r="J1" s="5" t="s">
        <v>0</v>
      </c>
      <c r="K1" s="5" t="s">
        <v>464</v>
      </c>
      <c r="L1" s="7"/>
      <c r="M1" s="7"/>
      <c r="N1" s="7"/>
      <c r="O1" s="7"/>
      <c r="P1" s="7"/>
      <c r="Q1" s="7"/>
      <c r="R1" s="7"/>
      <c r="S1" s="7"/>
      <c r="T1" s="7"/>
      <c r="U1" s="7"/>
      <c r="V1" s="7"/>
      <c r="W1" s="7"/>
      <c r="X1" s="7"/>
      <c r="Y1" s="7"/>
      <c r="Z1" s="7"/>
    </row>
    <row r="2" spans="1:26" ht="57">
      <c r="A2" s="6" t="s">
        <v>198</v>
      </c>
      <c r="B2" s="6" t="s">
        <v>7</v>
      </c>
      <c r="C2" s="6" t="s">
        <v>199</v>
      </c>
      <c r="D2" s="6" t="s">
        <v>200</v>
      </c>
      <c r="E2" s="6" t="s">
        <v>374</v>
      </c>
      <c r="F2" s="6" t="s">
        <v>369</v>
      </c>
      <c r="G2" s="6" t="s">
        <v>373</v>
      </c>
      <c r="H2" s="6" t="s">
        <v>384</v>
      </c>
      <c r="I2" s="6" t="s">
        <v>5</v>
      </c>
      <c r="J2" s="6" t="s">
        <v>8</v>
      </c>
      <c r="K2" s="7"/>
      <c r="L2" s="7"/>
      <c r="M2" s="7"/>
      <c r="N2" s="7"/>
      <c r="O2" s="7"/>
      <c r="P2" s="7"/>
      <c r="Q2" s="7"/>
      <c r="R2" s="7"/>
      <c r="S2" s="7"/>
      <c r="T2" s="7"/>
      <c r="U2" s="7"/>
      <c r="V2" s="7"/>
      <c r="W2" s="7"/>
      <c r="X2" s="7"/>
      <c r="Y2" s="7"/>
      <c r="Z2" s="7"/>
    </row>
    <row r="3" spans="1:26" ht="42.75">
      <c r="A3" s="6" t="s">
        <v>201</v>
      </c>
      <c r="B3" s="6" t="s">
        <v>7</v>
      </c>
      <c r="C3" s="6" t="s">
        <v>202</v>
      </c>
      <c r="D3" s="6" t="s">
        <v>203</v>
      </c>
      <c r="E3" s="6" t="s">
        <v>375</v>
      </c>
      <c r="F3" s="6" t="s">
        <v>370</v>
      </c>
      <c r="G3" s="6" t="s">
        <v>204</v>
      </c>
      <c r="H3" s="6" t="s">
        <v>385</v>
      </c>
      <c r="I3" s="6" t="s">
        <v>5</v>
      </c>
      <c r="J3" s="6" t="s">
        <v>8</v>
      </c>
      <c r="K3" s="7"/>
      <c r="L3" s="7"/>
      <c r="M3" s="7"/>
      <c r="N3" s="7"/>
      <c r="O3" s="7"/>
      <c r="P3" s="7"/>
      <c r="Q3" s="7"/>
      <c r="R3" s="7"/>
      <c r="S3" s="7"/>
      <c r="T3" s="7"/>
      <c r="U3" s="7"/>
      <c r="V3" s="7"/>
      <c r="W3" s="7"/>
      <c r="X3" s="7"/>
      <c r="Y3" s="7"/>
      <c r="Z3" s="7"/>
    </row>
    <row r="4" spans="1:26" ht="42.75">
      <c r="A4" s="6" t="s">
        <v>205</v>
      </c>
      <c r="B4" s="6" t="s">
        <v>7</v>
      </c>
      <c r="C4" s="6" t="s">
        <v>206</v>
      </c>
      <c r="D4" s="6" t="s">
        <v>203</v>
      </c>
      <c r="E4" s="6" t="s">
        <v>465</v>
      </c>
      <c r="F4" s="6" t="s">
        <v>371</v>
      </c>
      <c r="G4" s="6" t="s">
        <v>207</v>
      </c>
      <c r="H4" s="6" t="s">
        <v>386</v>
      </c>
      <c r="I4" s="6" t="s">
        <v>5</v>
      </c>
      <c r="J4" s="6" t="s">
        <v>8</v>
      </c>
      <c r="K4" s="7"/>
      <c r="L4" s="7"/>
      <c r="M4" s="7"/>
      <c r="N4" s="7"/>
      <c r="O4" s="7"/>
      <c r="P4" s="7"/>
      <c r="Q4" s="7"/>
      <c r="R4" s="7"/>
      <c r="S4" s="7"/>
      <c r="T4" s="7"/>
      <c r="U4" s="7"/>
      <c r="V4" s="7"/>
      <c r="W4" s="7"/>
      <c r="X4" s="7"/>
      <c r="Y4" s="7"/>
      <c r="Z4" s="7"/>
    </row>
    <row r="5" spans="1:26" ht="42.75">
      <c r="A5" s="6" t="s">
        <v>208</v>
      </c>
      <c r="B5" s="6" t="s">
        <v>13</v>
      </c>
      <c r="C5" s="6" t="s">
        <v>209</v>
      </c>
      <c r="D5" s="6" t="s">
        <v>210</v>
      </c>
      <c r="E5" s="6" t="s">
        <v>16</v>
      </c>
      <c r="F5" s="6" t="s">
        <v>211</v>
      </c>
      <c r="G5" s="6" t="s">
        <v>212</v>
      </c>
      <c r="H5" s="6" t="s">
        <v>387</v>
      </c>
      <c r="I5" s="6" t="s">
        <v>5</v>
      </c>
      <c r="J5" s="6" t="s">
        <v>8</v>
      </c>
      <c r="K5" s="7"/>
      <c r="L5" s="7"/>
      <c r="M5" s="7"/>
      <c r="N5" s="7"/>
      <c r="O5" s="7"/>
      <c r="P5" s="7"/>
      <c r="Q5" s="7"/>
      <c r="R5" s="7"/>
      <c r="S5" s="7"/>
      <c r="T5" s="7"/>
      <c r="U5" s="7"/>
      <c r="V5" s="7"/>
      <c r="W5" s="7"/>
      <c r="X5" s="7"/>
      <c r="Y5" s="7"/>
      <c r="Z5" s="7"/>
    </row>
    <row r="6" spans="1:26" ht="28.5">
      <c r="A6" s="6" t="s">
        <v>213</v>
      </c>
      <c r="B6" s="6" t="s">
        <v>15</v>
      </c>
      <c r="C6" s="6" t="s">
        <v>214</v>
      </c>
      <c r="D6" s="6" t="s">
        <v>215</v>
      </c>
      <c r="E6" s="6" t="s">
        <v>16</v>
      </c>
      <c r="F6" s="6" t="s">
        <v>372</v>
      </c>
      <c r="G6" s="6" t="s">
        <v>376</v>
      </c>
      <c r="H6" s="6" t="s">
        <v>377</v>
      </c>
      <c r="I6" s="6" t="s">
        <v>5</v>
      </c>
      <c r="J6" s="6" t="s">
        <v>8</v>
      </c>
      <c r="K6" s="7"/>
      <c r="L6" s="7"/>
      <c r="M6" s="7"/>
      <c r="N6" s="7"/>
      <c r="O6" s="7"/>
      <c r="P6" s="7"/>
      <c r="Q6" s="7"/>
      <c r="R6" s="7"/>
      <c r="S6" s="7"/>
      <c r="T6" s="7"/>
      <c r="U6" s="7"/>
      <c r="V6" s="7"/>
      <c r="W6" s="7"/>
      <c r="X6" s="7"/>
      <c r="Y6" s="7"/>
      <c r="Z6" s="7"/>
    </row>
    <row r="7" spans="1:26" ht="42.75">
      <c r="A7" s="6" t="s">
        <v>216</v>
      </c>
      <c r="B7" s="6" t="s">
        <v>18</v>
      </c>
      <c r="C7" s="6" t="s">
        <v>217</v>
      </c>
      <c r="D7" s="6" t="s">
        <v>218</v>
      </c>
      <c r="E7" s="6" t="s">
        <v>219</v>
      </c>
      <c r="F7" s="6" t="s">
        <v>220</v>
      </c>
      <c r="G7" s="6" t="s">
        <v>221</v>
      </c>
      <c r="H7" s="6" t="s">
        <v>388</v>
      </c>
      <c r="I7" s="6" t="s">
        <v>5</v>
      </c>
      <c r="J7" s="6" t="s">
        <v>8</v>
      </c>
      <c r="K7" s="7"/>
      <c r="L7" s="7"/>
      <c r="M7" s="7"/>
      <c r="N7" s="7"/>
      <c r="O7" s="7"/>
      <c r="P7" s="7"/>
      <c r="Q7" s="7"/>
      <c r="R7" s="7"/>
      <c r="S7" s="7"/>
      <c r="T7" s="7"/>
      <c r="U7" s="7"/>
      <c r="V7" s="7"/>
      <c r="W7" s="7"/>
      <c r="X7" s="7"/>
      <c r="Y7" s="7"/>
      <c r="Z7" s="7"/>
    </row>
    <row r="8" spans="1:26" ht="28.5">
      <c r="A8" s="6" t="s">
        <v>222</v>
      </c>
      <c r="B8" s="6" t="s">
        <v>18</v>
      </c>
      <c r="C8" s="6" t="s">
        <v>223</v>
      </c>
      <c r="D8" s="6" t="s">
        <v>218</v>
      </c>
      <c r="E8" s="6" t="s">
        <v>224</v>
      </c>
      <c r="F8" s="6" t="s">
        <v>225</v>
      </c>
      <c r="G8" s="6" t="s">
        <v>226</v>
      </c>
      <c r="H8" s="6" t="s">
        <v>389</v>
      </c>
      <c r="I8" s="6" t="s">
        <v>9</v>
      </c>
      <c r="J8" s="6" t="s">
        <v>8</v>
      </c>
      <c r="K8" s="7"/>
      <c r="L8" s="7"/>
      <c r="M8" s="7"/>
      <c r="N8" s="7"/>
      <c r="O8" s="7"/>
      <c r="P8" s="7"/>
      <c r="Q8" s="7"/>
      <c r="R8" s="7"/>
      <c r="S8" s="7"/>
      <c r="T8" s="7"/>
      <c r="U8" s="7"/>
      <c r="V8" s="7"/>
      <c r="W8" s="7"/>
      <c r="X8" s="7"/>
      <c r="Y8" s="7"/>
      <c r="Z8" s="7"/>
    </row>
    <row r="9" spans="1:26" ht="42.75">
      <c r="A9" s="6" t="s">
        <v>227</v>
      </c>
      <c r="B9" s="6" t="s">
        <v>19</v>
      </c>
      <c r="C9" s="6" t="s">
        <v>228</v>
      </c>
      <c r="D9" s="6" t="s">
        <v>218</v>
      </c>
      <c r="E9" s="6" t="s">
        <v>229</v>
      </c>
      <c r="F9" s="6" t="s">
        <v>230</v>
      </c>
      <c r="G9" s="6" t="s">
        <v>231</v>
      </c>
      <c r="H9" s="6" t="s">
        <v>390</v>
      </c>
      <c r="I9" s="6" t="s">
        <v>5</v>
      </c>
      <c r="J9" s="6" t="s">
        <v>8</v>
      </c>
      <c r="K9" s="7"/>
      <c r="L9" s="7"/>
      <c r="M9" s="7"/>
      <c r="N9" s="7"/>
      <c r="O9" s="7"/>
      <c r="P9" s="7"/>
      <c r="Q9" s="7"/>
      <c r="R9" s="7"/>
      <c r="S9" s="7"/>
      <c r="T9" s="7"/>
      <c r="U9" s="7"/>
      <c r="V9" s="7"/>
      <c r="W9" s="7"/>
      <c r="X9" s="7"/>
      <c r="Y9" s="7"/>
      <c r="Z9" s="7"/>
    </row>
    <row r="10" spans="1:26" ht="42.75">
      <c r="A10" s="6" t="s">
        <v>232</v>
      </c>
      <c r="B10" s="6" t="s">
        <v>19</v>
      </c>
      <c r="C10" s="6" t="s">
        <v>233</v>
      </c>
      <c r="D10" s="6" t="s">
        <v>234</v>
      </c>
      <c r="E10" s="6" t="s">
        <v>235</v>
      </c>
      <c r="F10" s="6" t="s">
        <v>391</v>
      </c>
      <c r="G10" s="6" t="s">
        <v>236</v>
      </c>
      <c r="H10" s="6" t="s">
        <v>392</v>
      </c>
      <c r="I10" s="6" t="s">
        <v>5</v>
      </c>
      <c r="J10" s="6" t="s">
        <v>8</v>
      </c>
      <c r="K10" s="7"/>
      <c r="L10" s="7"/>
      <c r="M10" s="7"/>
      <c r="N10" s="7"/>
      <c r="O10" s="7"/>
      <c r="P10" s="7"/>
      <c r="Q10" s="7"/>
      <c r="R10" s="7"/>
      <c r="S10" s="7"/>
      <c r="T10" s="7"/>
      <c r="U10" s="7"/>
      <c r="V10" s="7"/>
      <c r="W10" s="7"/>
      <c r="X10" s="7"/>
      <c r="Y10" s="7"/>
      <c r="Z10" s="7"/>
    </row>
    <row r="11" spans="1:26" ht="28.5">
      <c r="A11" s="6" t="s">
        <v>237</v>
      </c>
      <c r="B11" s="6" t="s">
        <v>20</v>
      </c>
      <c r="C11" s="6" t="s">
        <v>238</v>
      </c>
      <c r="D11" s="6" t="s">
        <v>218</v>
      </c>
      <c r="E11" s="6" t="s">
        <v>239</v>
      </c>
      <c r="F11" s="6" t="s">
        <v>240</v>
      </c>
      <c r="G11" s="6" t="s">
        <v>241</v>
      </c>
      <c r="H11" s="6" t="s">
        <v>393</v>
      </c>
      <c r="I11" s="6" t="s">
        <v>9</v>
      </c>
      <c r="J11" s="6" t="s">
        <v>8</v>
      </c>
      <c r="K11" s="7"/>
      <c r="L11" s="7"/>
      <c r="M11" s="7"/>
      <c r="N11" s="7"/>
      <c r="O11" s="7"/>
      <c r="P11" s="7"/>
      <c r="Q11" s="7"/>
      <c r="R11" s="7"/>
      <c r="S11" s="7"/>
      <c r="T11" s="7"/>
      <c r="U11" s="7"/>
      <c r="V11" s="7"/>
      <c r="W11" s="7"/>
      <c r="X11" s="7"/>
      <c r="Y11" s="7"/>
      <c r="Z11" s="7"/>
    </row>
    <row r="12" spans="1:26" ht="57">
      <c r="A12" s="6" t="s">
        <v>242</v>
      </c>
      <c r="B12" s="6" t="s">
        <v>21</v>
      </c>
      <c r="C12" s="6" t="s">
        <v>378</v>
      </c>
      <c r="D12" s="6" t="s">
        <v>243</v>
      </c>
      <c r="E12" s="6" t="s">
        <v>244</v>
      </c>
      <c r="F12" s="6" t="s">
        <v>245</v>
      </c>
      <c r="G12" s="6" t="s">
        <v>246</v>
      </c>
      <c r="H12" s="6" t="s">
        <v>379</v>
      </c>
      <c r="I12" s="6" t="s">
        <v>5</v>
      </c>
      <c r="J12" s="6" t="s">
        <v>8</v>
      </c>
      <c r="K12" s="7"/>
      <c r="L12" s="7"/>
      <c r="M12" s="7"/>
      <c r="N12" s="7"/>
      <c r="O12" s="7"/>
      <c r="P12" s="7"/>
      <c r="Q12" s="7"/>
      <c r="R12" s="7"/>
      <c r="S12" s="7"/>
      <c r="T12" s="7"/>
      <c r="U12" s="7"/>
      <c r="V12" s="7"/>
      <c r="W12" s="7"/>
      <c r="X12" s="7"/>
      <c r="Y12" s="7"/>
      <c r="Z12" s="7"/>
    </row>
    <row r="13" spans="1:26" ht="28.5">
      <c r="A13" s="6" t="s">
        <v>247</v>
      </c>
      <c r="B13" s="6" t="s">
        <v>22</v>
      </c>
      <c r="C13" s="6" t="s">
        <v>248</v>
      </c>
      <c r="D13" s="6" t="s">
        <v>249</v>
      </c>
      <c r="E13" s="6" t="s">
        <v>250</v>
      </c>
      <c r="F13" s="6" t="s">
        <v>251</v>
      </c>
      <c r="G13" s="6" t="s">
        <v>252</v>
      </c>
      <c r="H13" s="6" t="s">
        <v>380</v>
      </c>
      <c r="I13" s="6" t="s">
        <v>5</v>
      </c>
      <c r="J13" s="6" t="s">
        <v>8</v>
      </c>
      <c r="K13" s="7"/>
      <c r="L13" s="7"/>
      <c r="M13" s="7"/>
      <c r="N13" s="7"/>
      <c r="O13" s="7"/>
      <c r="P13" s="7"/>
      <c r="Q13" s="7"/>
      <c r="R13" s="7"/>
      <c r="S13" s="7"/>
      <c r="T13" s="7"/>
      <c r="U13" s="7"/>
      <c r="V13" s="7"/>
      <c r="W13" s="7"/>
      <c r="X13" s="7"/>
      <c r="Y13" s="7"/>
      <c r="Z13" s="7"/>
    </row>
    <row r="14" spans="1:26" ht="28.5">
      <c r="A14" s="6" t="s">
        <v>253</v>
      </c>
      <c r="B14" s="6" t="s">
        <v>22</v>
      </c>
      <c r="C14" s="6" t="s">
        <v>254</v>
      </c>
      <c r="D14" s="6" t="s">
        <v>255</v>
      </c>
      <c r="E14" s="6" t="s">
        <v>16</v>
      </c>
      <c r="F14" s="6" t="s">
        <v>381</v>
      </c>
      <c r="G14" s="6" t="s">
        <v>256</v>
      </c>
      <c r="H14" s="6" t="s">
        <v>382</v>
      </c>
      <c r="I14" s="6" t="s">
        <v>5</v>
      </c>
      <c r="J14" s="6" t="s">
        <v>8</v>
      </c>
      <c r="K14" s="7"/>
      <c r="L14" s="7"/>
      <c r="M14" s="7"/>
      <c r="N14" s="7"/>
      <c r="O14" s="7"/>
      <c r="P14" s="7"/>
      <c r="Q14" s="7"/>
      <c r="R14" s="7"/>
      <c r="S14" s="7"/>
      <c r="T14" s="7"/>
      <c r="U14" s="7"/>
      <c r="V14" s="7"/>
      <c r="W14" s="7"/>
      <c r="X14" s="7"/>
      <c r="Y14" s="7"/>
      <c r="Z14" s="7"/>
    </row>
    <row r="15" spans="1:26" ht="28.5">
      <c r="A15" s="6" t="s">
        <v>257</v>
      </c>
      <c r="B15" s="6" t="s">
        <v>22</v>
      </c>
      <c r="C15" s="6" t="s">
        <v>258</v>
      </c>
      <c r="D15" s="6" t="s">
        <v>259</v>
      </c>
      <c r="E15" s="6" t="s">
        <v>16</v>
      </c>
      <c r="F15" s="6" t="s">
        <v>260</v>
      </c>
      <c r="G15" s="6" t="s">
        <v>261</v>
      </c>
      <c r="H15" s="6" t="s">
        <v>383</v>
      </c>
      <c r="I15" s="6" t="s">
        <v>9</v>
      </c>
      <c r="J15" s="6" t="s">
        <v>8</v>
      </c>
      <c r="K15" s="7"/>
      <c r="L15" s="7"/>
      <c r="M15" s="7"/>
      <c r="N15" s="7"/>
      <c r="O15" s="7"/>
      <c r="P15" s="7"/>
      <c r="Q15" s="7"/>
      <c r="R15" s="7"/>
      <c r="S15" s="7"/>
      <c r="T15" s="7"/>
      <c r="U15" s="7"/>
      <c r="V15" s="7"/>
      <c r="W15" s="7"/>
      <c r="X15" s="7"/>
      <c r="Y15" s="7"/>
      <c r="Z15" s="7"/>
    </row>
    <row r="16" spans="1:26" ht="28.5">
      <c r="A16" s="6" t="s">
        <v>262</v>
      </c>
      <c r="B16" s="6" t="s">
        <v>23</v>
      </c>
      <c r="C16" s="6" t="s">
        <v>263</v>
      </c>
      <c r="D16" s="6" t="s">
        <v>264</v>
      </c>
      <c r="E16" s="6" t="s">
        <v>16</v>
      </c>
      <c r="F16" s="6" t="s">
        <v>265</v>
      </c>
      <c r="G16" s="6" t="s">
        <v>266</v>
      </c>
      <c r="H16" s="6" t="s">
        <v>394</v>
      </c>
      <c r="I16" s="6" t="s">
        <v>5</v>
      </c>
      <c r="J16" s="6" t="s">
        <v>8</v>
      </c>
      <c r="K16" s="7"/>
      <c r="L16" s="7"/>
      <c r="M16" s="7"/>
      <c r="N16" s="7"/>
      <c r="O16" s="7"/>
      <c r="P16" s="7"/>
      <c r="Q16" s="7"/>
      <c r="R16" s="7"/>
      <c r="S16" s="7"/>
      <c r="T16" s="7"/>
      <c r="U16" s="7"/>
      <c r="V16" s="7"/>
      <c r="W16" s="7"/>
      <c r="X16" s="7"/>
      <c r="Y16" s="7"/>
      <c r="Z16" s="7"/>
    </row>
    <row r="17" spans="1:26" ht="57">
      <c r="A17" s="6" t="s">
        <v>267</v>
      </c>
      <c r="B17" s="6" t="s">
        <v>23</v>
      </c>
      <c r="C17" s="6" t="s">
        <v>268</v>
      </c>
      <c r="D17" s="6" t="s">
        <v>269</v>
      </c>
      <c r="E17" s="6" t="s">
        <v>270</v>
      </c>
      <c r="F17" s="6" t="s">
        <v>271</v>
      </c>
      <c r="G17" s="6" t="s">
        <v>272</v>
      </c>
      <c r="H17" s="6" t="s">
        <v>395</v>
      </c>
      <c r="I17" s="6" t="s">
        <v>5</v>
      </c>
      <c r="J17" s="6" t="s">
        <v>11</v>
      </c>
      <c r="K17" s="10" t="s">
        <v>301</v>
      </c>
      <c r="L17" s="7"/>
      <c r="M17" s="7"/>
      <c r="N17" s="7"/>
      <c r="O17" s="7"/>
      <c r="P17" s="7"/>
      <c r="Q17" s="7"/>
      <c r="R17" s="7"/>
      <c r="S17" s="7"/>
      <c r="T17" s="7"/>
      <c r="U17" s="7"/>
      <c r="V17" s="7"/>
      <c r="W17" s="7"/>
      <c r="X17" s="7"/>
      <c r="Y17" s="7"/>
      <c r="Z17" s="7"/>
    </row>
    <row r="18" spans="1:26" ht="42.75">
      <c r="A18" s="6" t="s">
        <v>273</v>
      </c>
      <c r="B18" s="6" t="s">
        <v>23</v>
      </c>
      <c r="C18" s="6" t="s">
        <v>274</v>
      </c>
      <c r="D18" s="6" t="s">
        <v>275</v>
      </c>
      <c r="E18" s="6" t="s">
        <v>276</v>
      </c>
      <c r="F18" s="6" t="s">
        <v>277</v>
      </c>
      <c r="G18" s="6" t="s">
        <v>278</v>
      </c>
      <c r="H18" s="6" t="s">
        <v>396</v>
      </c>
      <c r="I18" s="6" t="s">
        <v>5</v>
      </c>
      <c r="J18" s="6" t="s">
        <v>8</v>
      </c>
      <c r="K18" s="7"/>
      <c r="L18" s="7"/>
      <c r="M18" s="7"/>
      <c r="N18" s="7"/>
      <c r="O18" s="7"/>
      <c r="P18" s="7"/>
      <c r="Q18" s="7"/>
      <c r="R18" s="7"/>
      <c r="S18" s="7"/>
      <c r="T18" s="7"/>
      <c r="U18" s="7"/>
      <c r="V18" s="7"/>
      <c r="W18" s="7"/>
      <c r="X18" s="7"/>
      <c r="Y18" s="7"/>
      <c r="Z18" s="7"/>
    </row>
    <row r="19" spans="1:26" ht="71.25">
      <c r="A19" s="6" t="s">
        <v>279</v>
      </c>
      <c r="B19" s="6" t="s">
        <v>25</v>
      </c>
      <c r="C19" s="6" t="s">
        <v>280</v>
      </c>
      <c r="D19" s="6" t="s">
        <v>281</v>
      </c>
      <c r="E19" s="6" t="s">
        <v>282</v>
      </c>
      <c r="F19" s="6" t="s">
        <v>283</v>
      </c>
      <c r="G19" s="6" t="s">
        <v>284</v>
      </c>
      <c r="H19" s="6" t="s">
        <v>397</v>
      </c>
      <c r="I19" s="6" t="s">
        <v>5</v>
      </c>
      <c r="J19" s="6" t="s">
        <v>8</v>
      </c>
      <c r="K19" s="7"/>
      <c r="L19" s="7"/>
      <c r="M19" s="7"/>
      <c r="N19" s="7"/>
      <c r="O19" s="7"/>
      <c r="P19" s="7"/>
      <c r="Q19" s="7"/>
      <c r="R19" s="7"/>
      <c r="S19" s="7"/>
      <c r="T19" s="7"/>
      <c r="U19" s="7"/>
      <c r="V19" s="7"/>
      <c r="W19" s="7"/>
      <c r="X19" s="7"/>
      <c r="Y19" s="7"/>
      <c r="Z19" s="7"/>
    </row>
    <row r="20" spans="1:26" ht="57">
      <c r="A20" s="6" t="s">
        <v>285</v>
      </c>
      <c r="B20" s="6" t="s">
        <v>27</v>
      </c>
      <c r="C20" s="6" t="s">
        <v>286</v>
      </c>
      <c r="D20" s="6" t="s">
        <v>203</v>
      </c>
      <c r="E20" s="6" t="s">
        <v>287</v>
      </c>
      <c r="F20" s="6" t="s">
        <v>288</v>
      </c>
      <c r="G20" s="6" t="s">
        <v>289</v>
      </c>
      <c r="H20" s="6" t="s">
        <v>463</v>
      </c>
      <c r="I20" s="6" t="s">
        <v>9</v>
      </c>
      <c r="J20" s="6" t="s">
        <v>8</v>
      </c>
      <c r="K20" s="7"/>
      <c r="L20" s="7"/>
      <c r="M20" s="7"/>
      <c r="N20" s="7"/>
      <c r="O20" s="7"/>
      <c r="P20" s="7"/>
      <c r="Q20" s="7"/>
      <c r="R20" s="7"/>
      <c r="S20" s="7"/>
      <c r="T20" s="7"/>
      <c r="U20" s="7"/>
      <c r="V20" s="7"/>
      <c r="W20" s="7"/>
      <c r="X20" s="7"/>
      <c r="Y20" s="7"/>
      <c r="Z20" s="7"/>
    </row>
    <row r="21" spans="1:26" ht="42.75">
      <c r="A21" s="6" t="s">
        <v>290</v>
      </c>
      <c r="B21" s="6" t="s">
        <v>28</v>
      </c>
      <c r="C21" s="6" t="s">
        <v>291</v>
      </c>
      <c r="D21" s="6" t="s">
        <v>292</v>
      </c>
      <c r="E21" s="6" t="s">
        <v>293</v>
      </c>
      <c r="F21" s="6" t="s">
        <v>399</v>
      </c>
      <c r="G21" s="6" t="s">
        <v>294</v>
      </c>
      <c r="H21" s="6" t="s">
        <v>398</v>
      </c>
      <c r="I21" s="6" t="s">
        <v>9</v>
      </c>
      <c r="J21" s="6" t="s">
        <v>8</v>
      </c>
      <c r="K21" s="7"/>
      <c r="L21" s="7"/>
      <c r="M21" s="7"/>
      <c r="N21" s="7"/>
      <c r="O21" s="7"/>
      <c r="P21" s="7"/>
      <c r="Q21" s="7"/>
      <c r="R21" s="7"/>
      <c r="S21" s="7"/>
      <c r="T21" s="7"/>
      <c r="U21" s="7"/>
      <c r="V21" s="7"/>
      <c r="W21" s="7"/>
      <c r="X21" s="7"/>
      <c r="Y21" s="7"/>
      <c r="Z21" s="7"/>
    </row>
    <row r="22" spans="1:26" ht="85.5">
      <c r="A22" s="9" t="s">
        <v>404</v>
      </c>
      <c r="B22" s="9" t="s">
        <v>27</v>
      </c>
      <c r="C22" s="10" t="s">
        <v>405</v>
      </c>
      <c r="D22" s="6" t="s">
        <v>406</v>
      </c>
      <c r="E22" s="6" t="s">
        <v>287</v>
      </c>
      <c r="F22" s="10" t="s">
        <v>407</v>
      </c>
      <c r="G22" s="10" t="s">
        <v>408</v>
      </c>
      <c r="H22" s="6" t="s">
        <v>409</v>
      </c>
      <c r="I22" s="6" t="s">
        <v>9</v>
      </c>
      <c r="J22" s="6" t="s">
        <v>11</v>
      </c>
      <c r="K22" s="10" t="s">
        <v>302</v>
      </c>
      <c r="L22" s="7"/>
      <c r="M22" s="7"/>
      <c r="N22" s="7"/>
      <c r="O22" s="7"/>
      <c r="P22" s="7"/>
      <c r="Q22" s="7"/>
      <c r="R22" s="7"/>
      <c r="S22" s="7"/>
      <c r="T22" s="7"/>
      <c r="U22" s="7"/>
      <c r="V22" s="7"/>
      <c r="W22" s="7"/>
      <c r="X22" s="7"/>
      <c r="Y22" s="7"/>
      <c r="Z22" s="7"/>
    </row>
    <row r="23" spans="1:26" ht="57">
      <c r="A23" s="10" t="s">
        <v>434</v>
      </c>
      <c r="B23" s="10" t="s">
        <v>19</v>
      </c>
      <c r="C23" s="10" t="s">
        <v>435</v>
      </c>
      <c r="D23" s="10" t="s">
        <v>218</v>
      </c>
      <c r="E23" s="10" t="s">
        <v>436</v>
      </c>
      <c r="F23" s="11" t="s">
        <v>437</v>
      </c>
      <c r="G23" s="10" t="s">
        <v>438</v>
      </c>
      <c r="H23" s="10" t="s">
        <v>439</v>
      </c>
      <c r="I23" s="6" t="s">
        <v>9</v>
      </c>
      <c r="J23" s="6" t="s">
        <v>11</v>
      </c>
      <c r="K23" s="10" t="s">
        <v>297</v>
      </c>
      <c r="L23" s="7"/>
      <c r="M23" s="7"/>
      <c r="N23" s="7"/>
      <c r="O23" s="7"/>
      <c r="P23" s="7"/>
      <c r="Q23" s="7"/>
      <c r="R23" s="7"/>
      <c r="S23" s="7"/>
      <c r="T23" s="7"/>
      <c r="U23" s="7"/>
      <c r="V23" s="7"/>
      <c r="W23" s="7"/>
      <c r="X23" s="7"/>
      <c r="Y23" s="7"/>
      <c r="Z23" s="7"/>
    </row>
    <row r="24" spans="1:26" ht="57">
      <c r="A24" s="10" t="s">
        <v>440</v>
      </c>
      <c r="B24" s="10" t="s">
        <v>20</v>
      </c>
      <c r="C24" s="10" t="s">
        <v>441</v>
      </c>
      <c r="D24" s="10" t="s">
        <v>218</v>
      </c>
      <c r="E24" s="10" t="s">
        <v>442</v>
      </c>
      <c r="F24" s="11" t="s">
        <v>443</v>
      </c>
      <c r="G24" s="10" t="s">
        <v>444</v>
      </c>
      <c r="H24" s="10" t="s">
        <v>445</v>
      </c>
      <c r="I24" s="6" t="s">
        <v>9</v>
      </c>
      <c r="J24" s="6" t="s">
        <v>11</v>
      </c>
      <c r="K24" s="10" t="s">
        <v>299</v>
      </c>
      <c r="L24" s="7"/>
      <c r="M24" s="7"/>
      <c r="N24" s="7"/>
      <c r="O24" s="7"/>
      <c r="P24" s="7"/>
      <c r="Q24" s="7"/>
      <c r="R24" s="7"/>
      <c r="S24" s="7"/>
      <c r="T24" s="7"/>
      <c r="U24" s="7"/>
      <c r="V24" s="7"/>
      <c r="W24" s="7"/>
      <c r="X24" s="7"/>
      <c r="Y24" s="7"/>
      <c r="Z24" s="7"/>
    </row>
    <row r="25" spans="1:26" ht="71.25">
      <c r="A25" s="10" t="s">
        <v>446</v>
      </c>
      <c r="B25" s="10" t="s">
        <v>21</v>
      </c>
      <c r="C25" s="10" t="s">
        <v>447</v>
      </c>
      <c r="D25" s="10" t="s">
        <v>448</v>
      </c>
      <c r="E25" s="10" t="s">
        <v>449</v>
      </c>
      <c r="F25" s="11" t="s">
        <v>450</v>
      </c>
      <c r="G25" s="10" t="s">
        <v>451</v>
      </c>
      <c r="H25" s="10" t="s">
        <v>452</v>
      </c>
      <c r="I25" s="6" t="s">
        <v>9</v>
      </c>
      <c r="J25" s="6" t="s">
        <v>11</v>
      </c>
      <c r="K25" s="10" t="s">
        <v>300</v>
      </c>
      <c r="L25" s="7"/>
      <c r="M25" s="7"/>
      <c r="N25" s="7"/>
      <c r="O25" s="7"/>
      <c r="P25" s="7"/>
      <c r="Q25" s="7"/>
      <c r="R25" s="7"/>
      <c r="S25" s="7"/>
      <c r="T25" s="7"/>
      <c r="U25" s="7"/>
      <c r="V25" s="7"/>
      <c r="W25" s="7"/>
      <c r="X25" s="7"/>
      <c r="Y25" s="7"/>
      <c r="Z25" s="7"/>
    </row>
    <row r="26" spans="1:26">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xr:uid="{00000000-0002-0000-0400-000000000000}">
          <x14:formula1>
            <xm:f>Data!$B$2:$B$4</xm:f>
          </x14:formula1>
          <xm:sqref>I2:I25</xm:sqref>
        </x14:dataValidation>
        <x14:dataValidation type="list" xr:uid="{00000000-0002-0000-0400-000001000000}">
          <x14:formula1>
            <xm:f>Data!$A$2:$A$6</xm:f>
          </x14:formula1>
          <xm:sqref>J2:J25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200"/>
  <sheetViews>
    <sheetView topLeftCell="D1" workbookViewId="0">
      <selection activeCell="I6" sqref="I6"/>
    </sheetView>
  </sheetViews>
  <sheetFormatPr defaultRowHeight="14.25"/>
  <cols>
    <col min="1" max="1" width="10" customWidth="1"/>
    <col min="2" max="2" width="38" customWidth="1"/>
    <col min="3" max="4" width="13" customWidth="1"/>
    <col min="5" max="5" width="24" customWidth="1"/>
    <col min="6" max="6" width="30" customWidth="1"/>
    <col min="7" max="7" width="48" customWidth="1"/>
    <col min="8" max="8" width="38" customWidth="1"/>
    <col min="9" max="9" width="40" customWidth="1"/>
    <col min="10" max="10" width="24" customWidth="1"/>
    <col min="11" max="11" width="13" customWidth="1"/>
  </cols>
  <sheetData>
    <row r="1" spans="1:25" ht="27.95" customHeight="1">
      <c r="A1" s="5" t="s">
        <v>295</v>
      </c>
      <c r="B1" s="5" t="s">
        <v>192</v>
      </c>
      <c r="C1" s="5" t="s">
        <v>2</v>
      </c>
      <c r="D1" s="5" t="s">
        <v>1</v>
      </c>
      <c r="E1" s="5" t="s">
        <v>55</v>
      </c>
      <c r="F1" s="5" t="s">
        <v>193</v>
      </c>
      <c r="G1" s="5" t="s">
        <v>296</v>
      </c>
      <c r="H1" s="5" t="s">
        <v>197</v>
      </c>
      <c r="I1" s="5" t="s">
        <v>196</v>
      </c>
      <c r="J1" s="5" t="s">
        <v>467</v>
      </c>
      <c r="K1" s="5" t="s">
        <v>0</v>
      </c>
      <c r="L1" s="7"/>
      <c r="M1" s="7"/>
      <c r="N1" s="7"/>
      <c r="O1" s="7"/>
      <c r="P1" s="7"/>
      <c r="Q1" s="7"/>
      <c r="R1" s="7"/>
      <c r="S1" s="7"/>
      <c r="T1" s="7"/>
      <c r="U1" s="7"/>
      <c r="V1" s="7"/>
      <c r="W1" s="7"/>
      <c r="X1" s="7"/>
      <c r="Y1" s="7"/>
    </row>
    <row r="2" spans="1:25" ht="57">
      <c r="A2" s="6" t="s">
        <v>297</v>
      </c>
      <c r="B2" s="10" t="s">
        <v>410</v>
      </c>
      <c r="C2" s="6" t="s">
        <v>12</v>
      </c>
      <c r="D2" s="6" t="s">
        <v>9</v>
      </c>
      <c r="E2" s="6" t="s">
        <v>59</v>
      </c>
      <c r="F2" s="10" t="s">
        <v>411</v>
      </c>
      <c r="G2" s="10" t="s">
        <v>412</v>
      </c>
      <c r="H2" s="10" t="s">
        <v>413</v>
      </c>
      <c r="I2" s="10" t="s">
        <v>414</v>
      </c>
      <c r="J2" s="10" t="s">
        <v>454</v>
      </c>
      <c r="K2" s="6" t="s">
        <v>298</v>
      </c>
      <c r="L2" s="7"/>
      <c r="M2" s="7"/>
      <c r="N2" s="7"/>
      <c r="O2" s="7"/>
      <c r="P2" s="7"/>
      <c r="Q2" s="7"/>
      <c r="R2" s="7"/>
      <c r="S2" s="7"/>
      <c r="T2" s="7"/>
      <c r="U2" s="7"/>
      <c r="V2" s="7"/>
      <c r="W2" s="7"/>
      <c r="X2" s="7"/>
      <c r="Y2" s="7"/>
    </row>
    <row r="3" spans="1:25" ht="57">
      <c r="A3" s="6" t="s">
        <v>299</v>
      </c>
      <c r="B3" s="10" t="s">
        <v>415</v>
      </c>
      <c r="C3" s="6" t="s">
        <v>12</v>
      </c>
      <c r="D3" s="6" t="s">
        <v>9</v>
      </c>
      <c r="E3" s="6" t="s">
        <v>59</v>
      </c>
      <c r="F3" s="10" t="s">
        <v>411</v>
      </c>
      <c r="G3" s="10" t="s">
        <v>416</v>
      </c>
      <c r="H3" s="10" t="s">
        <v>417</v>
      </c>
      <c r="I3" s="10" t="s">
        <v>418</v>
      </c>
      <c r="J3" s="10" t="s">
        <v>453</v>
      </c>
      <c r="K3" s="6" t="s">
        <v>298</v>
      </c>
      <c r="L3" s="7"/>
      <c r="M3" s="7"/>
      <c r="N3" s="7"/>
      <c r="O3" s="7"/>
      <c r="P3" s="7"/>
      <c r="Q3" s="7"/>
      <c r="R3" s="7"/>
      <c r="S3" s="7"/>
      <c r="T3" s="7"/>
      <c r="U3" s="7"/>
      <c r="V3" s="7"/>
      <c r="W3" s="7"/>
      <c r="X3" s="7"/>
      <c r="Y3" s="7"/>
    </row>
    <row r="4" spans="1:25" ht="71.25">
      <c r="A4" s="6" t="s">
        <v>300</v>
      </c>
      <c r="B4" s="10" t="s">
        <v>419</v>
      </c>
      <c r="C4" s="6" t="s">
        <v>12</v>
      </c>
      <c r="D4" s="6" t="s">
        <v>9</v>
      </c>
      <c r="E4" s="6" t="s">
        <v>59</v>
      </c>
      <c r="F4" s="10" t="s">
        <v>420</v>
      </c>
      <c r="G4" s="10" t="s">
        <v>421</v>
      </c>
      <c r="H4" s="10" t="s">
        <v>422</v>
      </c>
      <c r="I4" s="10" t="s">
        <v>423</v>
      </c>
      <c r="J4" s="10" t="s">
        <v>455</v>
      </c>
      <c r="K4" s="6" t="s">
        <v>298</v>
      </c>
      <c r="L4" s="7"/>
      <c r="M4" s="7"/>
      <c r="N4" s="7"/>
      <c r="O4" s="7"/>
      <c r="P4" s="7"/>
      <c r="Q4" s="7"/>
      <c r="R4" s="7"/>
      <c r="S4" s="7"/>
      <c r="T4" s="7"/>
      <c r="U4" s="7"/>
      <c r="V4" s="7"/>
      <c r="W4" s="7"/>
      <c r="X4" s="7"/>
      <c r="Y4" s="7"/>
    </row>
    <row r="5" spans="1:25" ht="71.25">
      <c r="A5" s="6" t="s">
        <v>301</v>
      </c>
      <c r="B5" s="10" t="s">
        <v>424</v>
      </c>
      <c r="C5" s="6" t="s">
        <v>9</v>
      </c>
      <c r="D5" s="6" t="s">
        <v>9</v>
      </c>
      <c r="E5" s="6" t="s">
        <v>59</v>
      </c>
      <c r="F5" s="10" t="s">
        <v>425</v>
      </c>
      <c r="G5" s="10" t="s">
        <v>426</v>
      </c>
      <c r="H5" s="10" t="s">
        <v>427</v>
      </c>
      <c r="I5" s="10" t="s">
        <v>428</v>
      </c>
      <c r="J5" s="10" t="s">
        <v>456</v>
      </c>
      <c r="K5" s="6" t="s">
        <v>298</v>
      </c>
      <c r="L5" s="7"/>
      <c r="M5" s="7"/>
      <c r="N5" s="7"/>
      <c r="O5" s="7"/>
      <c r="P5" s="7"/>
      <c r="Q5" s="7"/>
      <c r="R5" s="7"/>
      <c r="S5" s="7"/>
      <c r="T5" s="7"/>
      <c r="U5" s="7"/>
      <c r="V5" s="7"/>
      <c r="W5" s="7"/>
      <c r="X5" s="7"/>
      <c r="Y5" s="7"/>
    </row>
    <row r="6" spans="1:25" ht="85.5">
      <c r="A6" s="6" t="s">
        <v>302</v>
      </c>
      <c r="B6" s="10" t="s">
        <v>429</v>
      </c>
      <c r="C6" s="6" t="s">
        <v>9</v>
      </c>
      <c r="D6" s="6" t="s">
        <v>9</v>
      </c>
      <c r="E6" s="6" t="s">
        <v>59</v>
      </c>
      <c r="F6" s="10" t="s">
        <v>430</v>
      </c>
      <c r="G6" s="10" t="s">
        <v>431</v>
      </c>
      <c r="H6" s="10" t="s">
        <v>432</v>
      </c>
      <c r="I6" s="10" t="s">
        <v>433</v>
      </c>
      <c r="J6" s="10" t="s">
        <v>457</v>
      </c>
      <c r="K6" s="6" t="s">
        <v>298</v>
      </c>
      <c r="L6" s="7"/>
      <c r="M6" s="7"/>
      <c r="N6" s="7"/>
      <c r="O6" s="7"/>
      <c r="P6" s="7"/>
      <c r="Q6" s="7"/>
      <c r="R6" s="7"/>
      <c r="S6" s="7"/>
      <c r="T6" s="7"/>
      <c r="U6" s="7"/>
      <c r="V6" s="7"/>
      <c r="W6" s="7"/>
      <c r="X6" s="7"/>
      <c r="Y6" s="7"/>
    </row>
    <row r="7" spans="1:25">
      <c r="A7" s="6"/>
      <c r="B7" s="6"/>
      <c r="C7" s="6"/>
      <c r="D7" s="6"/>
      <c r="E7" s="6"/>
      <c r="F7" s="6"/>
      <c r="G7" s="6"/>
      <c r="H7" s="6"/>
      <c r="I7" s="6"/>
      <c r="J7" s="6"/>
      <c r="K7" s="6"/>
      <c r="L7" s="7"/>
      <c r="M7" s="7"/>
      <c r="N7" s="7"/>
      <c r="O7" s="7"/>
      <c r="P7" s="7"/>
      <c r="Q7" s="7"/>
      <c r="R7" s="7"/>
      <c r="S7" s="7"/>
      <c r="T7" s="7"/>
      <c r="U7" s="7"/>
      <c r="V7" s="7"/>
      <c r="W7" s="7"/>
      <c r="X7" s="7"/>
      <c r="Y7" s="7"/>
    </row>
    <row r="8" spans="1:25">
      <c r="A8" s="6"/>
      <c r="B8" s="6"/>
      <c r="C8" s="6"/>
      <c r="D8" s="6"/>
      <c r="E8" s="6"/>
      <c r="F8" s="6"/>
      <c r="G8" s="6"/>
      <c r="H8" s="6"/>
      <c r="I8" s="6"/>
      <c r="J8" s="6"/>
      <c r="K8" s="6"/>
      <c r="L8" s="7"/>
      <c r="M8" s="7"/>
      <c r="N8" s="7"/>
      <c r="O8" s="7"/>
      <c r="P8" s="7"/>
      <c r="Q8" s="7"/>
      <c r="R8" s="7"/>
      <c r="S8" s="7"/>
      <c r="T8" s="7"/>
      <c r="U8" s="7"/>
      <c r="V8" s="7"/>
      <c r="W8" s="7"/>
      <c r="X8" s="7"/>
      <c r="Y8" s="7"/>
    </row>
    <row r="9" spans="1:25">
      <c r="A9" s="6"/>
      <c r="B9" s="6"/>
      <c r="C9" s="6"/>
      <c r="D9" s="6"/>
      <c r="E9" s="6"/>
      <c r="F9" s="6"/>
      <c r="G9" s="6"/>
      <c r="H9" s="6"/>
      <c r="I9" s="6"/>
      <c r="J9" s="6"/>
      <c r="K9" s="6"/>
      <c r="L9" s="7"/>
      <c r="M9" s="7"/>
      <c r="N9" s="7"/>
      <c r="O9" s="7"/>
      <c r="P9" s="7"/>
      <c r="Q9" s="7"/>
      <c r="R9" s="7"/>
      <c r="S9" s="7"/>
      <c r="T9" s="7"/>
      <c r="U9" s="7"/>
      <c r="V9" s="7"/>
      <c r="W9" s="7"/>
      <c r="X9" s="7"/>
      <c r="Y9" s="7"/>
    </row>
    <row r="10" spans="1:25">
      <c r="A10" s="6"/>
      <c r="B10" s="6"/>
      <c r="C10" s="6"/>
      <c r="D10" s="6"/>
      <c r="E10" s="6"/>
      <c r="F10" s="6"/>
      <c r="G10" s="6"/>
      <c r="H10" s="6"/>
      <c r="I10" s="6"/>
      <c r="J10" s="6"/>
      <c r="K10" s="6"/>
      <c r="L10" s="7"/>
      <c r="M10" s="7"/>
      <c r="N10" s="7"/>
      <c r="O10" s="7"/>
      <c r="P10" s="7"/>
      <c r="Q10" s="7"/>
      <c r="R10" s="7"/>
      <c r="S10" s="7"/>
      <c r="T10" s="7"/>
      <c r="U10" s="7"/>
      <c r="V10" s="7"/>
      <c r="W10" s="7"/>
      <c r="X10" s="7"/>
      <c r="Y10" s="7"/>
    </row>
    <row r="11" spans="1:25">
      <c r="A11" s="6"/>
      <c r="B11" s="6"/>
      <c r="C11" s="6"/>
      <c r="D11" s="6"/>
      <c r="E11" s="6"/>
      <c r="F11" s="6"/>
      <c r="G11" s="6"/>
      <c r="H11" s="6"/>
      <c r="I11" s="6"/>
      <c r="J11" s="6"/>
      <c r="K11" s="6"/>
      <c r="L11" s="7"/>
      <c r="M11" s="7"/>
      <c r="N11" s="7"/>
      <c r="O11" s="7"/>
      <c r="P11" s="7"/>
      <c r="Q11" s="7"/>
      <c r="R11" s="7"/>
      <c r="S11" s="7"/>
      <c r="T11" s="7"/>
      <c r="U11" s="7"/>
      <c r="V11" s="7"/>
      <c r="W11" s="7"/>
      <c r="X11" s="7"/>
      <c r="Y11" s="7"/>
    </row>
    <row r="12" spans="1:25">
      <c r="A12" s="7"/>
      <c r="B12" s="7"/>
      <c r="C12" s="7"/>
      <c r="D12" s="7"/>
      <c r="E12" s="7"/>
      <c r="F12" s="7"/>
      <c r="G12" s="7"/>
      <c r="H12" s="7"/>
      <c r="I12" s="7"/>
      <c r="J12" s="7"/>
      <c r="K12" s="7"/>
      <c r="L12" s="7"/>
      <c r="M12" s="7"/>
      <c r="N12" s="7"/>
      <c r="O12" s="7"/>
      <c r="P12" s="7"/>
      <c r="Q12" s="7"/>
      <c r="R12" s="7"/>
      <c r="S12" s="7"/>
      <c r="T12" s="7"/>
      <c r="U12" s="7"/>
      <c r="V12" s="7"/>
      <c r="W12" s="7"/>
      <c r="X12" s="7"/>
      <c r="Y12" s="7"/>
    </row>
    <row r="13" spans="1:25">
      <c r="A13" s="7"/>
      <c r="B13" s="7"/>
      <c r="C13" s="7"/>
      <c r="D13" s="7"/>
      <c r="E13" s="7"/>
      <c r="F13" s="7"/>
      <c r="G13" s="7"/>
      <c r="H13" s="7"/>
      <c r="I13" s="7"/>
      <c r="J13" s="7"/>
      <c r="K13" s="7"/>
      <c r="L13" s="7"/>
      <c r="M13" s="7"/>
      <c r="N13" s="7"/>
      <c r="O13" s="7"/>
      <c r="P13" s="7"/>
      <c r="Q13" s="7"/>
      <c r="R13" s="7"/>
      <c r="S13" s="7"/>
      <c r="T13" s="7"/>
      <c r="U13" s="7"/>
      <c r="V13" s="7"/>
      <c r="W13" s="7"/>
      <c r="X13" s="7"/>
      <c r="Y13" s="7"/>
    </row>
    <row r="14" spans="1:25">
      <c r="A14" s="7"/>
      <c r="B14" s="7"/>
      <c r="C14" s="7"/>
      <c r="D14" s="7"/>
      <c r="E14" s="7"/>
      <c r="F14" s="7"/>
      <c r="G14" s="7"/>
      <c r="H14" s="7"/>
      <c r="I14" s="7"/>
      <c r="J14" s="7"/>
      <c r="K14" s="7"/>
      <c r="L14" s="7"/>
      <c r="M14" s="7"/>
      <c r="N14" s="7"/>
      <c r="O14" s="7"/>
      <c r="P14" s="7"/>
      <c r="Q14" s="7"/>
      <c r="R14" s="7"/>
      <c r="S14" s="7"/>
      <c r="T14" s="7"/>
      <c r="U14" s="7"/>
      <c r="V14" s="7"/>
      <c r="W14" s="7"/>
      <c r="X14" s="7"/>
      <c r="Y14" s="7"/>
    </row>
    <row r="15" spans="1:25">
      <c r="A15" s="7"/>
      <c r="B15" s="7"/>
      <c r="C15" s="7"/>
      <c r="D15" s="7"/>
      <c r="E15" s="7"/>
      <c r="F15" s="7"/>
      <c r="G15" s="7"/>
      <c r="H15" s="7"/>
      <c r="I15" s="7"/>
      <c r="J15" s="7"/>
      <c r="K15" s="7"/>
      <c r="L15" s="7"/>
      <c r="M15" s="7"/>
      <c r="N15" s="7"/>
      <c r="O15" s="7"/>
      <c r="P15" s="7"/>
      <c r="Q15" s="7"/>
      <c r="R15" s="7"/>
      <c r="S15" s="7"/>
      <c r="T15" s="7"/>
      <c r="U15" s="7"/>
      <c r="V15" s="7"/>
      <c r="W15" s="7"/>
      <c r="X15" s="7"/>
      <c r="Y15" s="7"/>
    </row>
    <row r="16" spans="1:25">
      <c r="A16" s="7"/>
      <c r="B16" s="7"/>
      <c r="C16" s="7"/>
      <c r="D16" s="7"/>
      <c r="E16" s="7"/>
      <c r="F16" s="7"/>
      <c r="G16" s="7"/>
      <c r="H16" s="7"/>
      <c r="I16" s="7"/>
      <c r="J16" s="7"/>
      <c r="K16" s="7"/>
      <c r="L16" s="7"/>
      <c r="M16" s="7"/>
      <c r="N16" s="7"/>
      <c r="O16" s="7"/>
      <c r="P16" s="7"/>
      <c r="Q16" s="7"/>
      <c r="R16" s="7"/>
      <c r="S16" s="7"/>
      <c r="T16" s="7"/>
      <c r="U16" s="7"/>
      <c r="V16" s="7"/>
      <c r="W16" s="7"/>
      <c r="X16" s="7"/>
      <c r="Y16" s="7"/>
    </row>
    <row r="17" spans="1:25">
      <c r="A17" s="7"/>
      <c r="B17" s="7"/>
      <c r="C17" s="7"/>
      <c r="D17" s="7"/>
      <c r="E17" s="7"/>
      <c r="F17" s="7"/>
      <c r="G17" s="7"/>
      <c r="H17" s="7"/>
      <c r="I17" s="7"/>
      <c r="J17" s="7"/>
      <c r="K17" s="7"/>
      <c r="L17" s="7"/>
      <c r="M17" s="7"/>
      <c r="N17" s="7"/>
      <c r="O17" s="7"/>
      <c r="P17" s="7"/>
      <c r="Q17" s="7"/>
      <c r="R17" s="7"/>
      <c r="S17" s="7"/>
      <c r="T17" s="7"/>
      <c r="U17" s="7"/>
      <c r="V17" s="7"/>
      <c r="W17" s="7"/>
      <c r="X17" s="7"/>
      <c r="Y17" s="7"/>
    </row>
    <row r="18" spans="1:25">
      <c r="A18" s="7"/>
      <c r="B18" s="7"/>
      <c r="C18" s="7"/>
      <c r="D18" s="7"/>
      <c r="E18" s="7"/>
      <c r="F18" s="7"/>
      <c r="G18" s="7"/>
      <c r="H18" s="7"/>
      <c r="I18" s="7"/>
      <c r="J18" s="7"/>
      <c r="K18" s="7"/>
      <c r="L18" s="7"/>
      <c r="M18" s="7"/>
      <c r="N18" s="7"/>
      <c r="O18" s="7"/>
      <c r="P18" s="7"/>
      <c r="Q18" s="7"/>
      <c r="R18" s="7"/>
      <c r="S18" s="7"/>
      <c r="T18" s="7"/>
      <c r="U18" s="7"/>
      <c r="V18" s="7"/>
      <c r="W18" s="7"/>
      <c r="X18" s="7"/>
      <c r="Y18" s="7"/>
    </row>
    <row r="19" spans="1:25">
      <c r="A19" s="7"/>
      <c r="B19" s="7"/>
      <c r="C19" s="7"/>
      <c r="D19" s="7"/>
      <c r="E19" s="7"/>
      <c r="F19" s="7"/>
      <c r="G19" s="7"/>
      <c r="H19" s="7"/>
      <c r="I19" s="7"/>
      <c r="J19" s="7"/>
      <c r="K19" s="7"/>
      <c r="L19" s="7"/>
      <c r="M19" s="7"/>
      <c r="N19" s="7"/>
      <c r="O19" s="7"/>
      <c r="P19" s="7"/>
      <c r="Q19" s="7"/>
      <c r="R19" s="7"/>
      <c r="S19" s="7"/>
      <c r="T19" s="7"/>
      <c r="U19" s="7"/>
      <c r="V19" s="7"/>
      <c r="W19" s="7"/>
      <c r="X19" s="7"/>
      <c r="Y19" s="7"/>
    </row>
    <row r="20" spans="1:25">
      <c r="A20" s="7"/>
      <c r="B20" s="7"/>
      <c r="C20" s="7"/>
      <c r="D20" s="7"/>
      <c r="E20" s="7"/>
      <c r="F20" s="7"/>
      <c r="G20" s="7"/>
      <c r="H20" s="7"/>
      <c r="I20" s="7"/>
      <c r="J20" s="7"/>
      <c r="K20" s="7"/>
      <c r="L20" s="7"/>
      <c r="M20" s="7"/>
      <c r="N20" s="7"/>
      <c r="O20" s="7"/>
      <c r="P20" s="7"/>
      <c r="Q20" s="7"/>
      <c r="R20" s="7"/>
      <c r="S20" s="7"/>
      <c r="T20" s="7"/>
      <c r="U20" s="7"/>
      <c r="V20" s="7"/>
      <c r="W20" s="7"/>
      <c r="X20" s="7"/>
      <c r="Y20" s="7"/>
    </row>
    <row r="21" spans="1:25">
      <c r="A21" s="7"/>
      <c r="B21" s="7"/>
      <c r="C21" s="7"/>
      <c r="D21" s="7"/>
      <c r="E21" s="7"/>
      <c r="F21" s="7"/>
      <c r="G21" s="7"/>
      <c r="H21" s="7"/>
      <c r="I21" s="7"/>
      <c r="J21" s="7"/>
      <c r="K21" s="7"/>
      <c r="L21" s="7"/>
      <c r="M21" s="7"/>
      <c r="N21" s="7"/>
      <c r="O21" s="7"/>
      <c r="P21" s="7"/>
      <c r="Q21" s="7"/>
      <c r="R21" s="7"/>
      <c r="S21" s="7"/>
      <c r="T21" s="7"/>
      <c r="U21" s="7"/>
      <c r="V21" s="7"/>
      <c r="W21" s="7"/>
      <c r="X21" s="7"/>
      <c r="Y21" s="7"/>
    </row>
    <row r="22" spans="1:25">
      <c r="A22" s="7"/>
      <c r="B22" s="7"/>
      <c r="C22" s="7"/>
      <c r="D22" s="7"/>
      <c r="E22" s="7"/>
      <c r="F22" s="7"/>
      <c r="G22" s="7"/>
      <c r="H22" s="7"/>
      <c r="I22" s="7"/>
      <c r="J22" s="7"/>
      <c r="K22" s="7"/>
      <c r="L22" s="7"/>
      <c r="M22" s="7"/>
      <c r="N22" s="7"/>
      <c r="O22" s="7"/>
      <c r="P22" s="7"/>
      <c r="Q22" s="7"/>
      <c r="R22" s="7"/>
      <c r="S22" s="7"/>
      <c r="T22" s="7"/>
      <c r="U22" s="7"/>
      <c r="V22" s="7"/>
      <c r="W22" s="7"/>
      <c r="X22" s="7"/>
      <c r="Y22" s="7"/>
    </row>
    <row r="23" spans="1:25">
      <c r="A23" s="7"/>
      <c r="B23" s="7"/>
      <c r="C23" s="7"/>
      <c r="D23" s="7"/>
      <c r="E23" s="7"/>
      <c r="F23" s="7"/>
      <c r="G23" s="7"/>
      <c r="H23" s="7"/>
      <c r="I23" s="7"/>
      <c r="J23" s="7"/>
      <c r="K23" s="7"/>
      <c r="L23" s="7"/>
      <c r="M23" s="7"/>
      <c r="N23" s="7"/>
      <c r="O23" s="7"/>
      <c r="P23" s="7"/>
      <c r="Q23" s="7"/>
      <c r="R23" s="7"/>
      <c r="S23" s="7"/>
      <c r="T23" s="7"/>
      <c r="U23" s="7"/>
      <c r="V23" s="7"/>
      <c r="W23" s="7"/>
      <c r="X23" s="7"/>
      <c r="Y23" s="7"/>
    </row>
    <row r="24" spans="1:25">
      <c r="A24" s="7"/>
      <c r="B24" s="7"/>
      <c r="C24" s="7"/>
      <c r="D24" s="7"/>
      <c r="E24" s="7"/>
      <c r="F24" s="7"/>
      <c r="G24" s="7"/>
      <c r="H24" s="7"/>
      <c r="I24" s="7"/>
      <c r="J24" s="7"/>
      <c r="K24" s="7"/>
      <c r="L24" s="7"/>
      <c r="M24" s="7"/>
      <c r="N24" s="7"/>
      <c r="O24" s="7"/>
      <c r="P24" s="7"/>
      <c r="Q24" s="7"/>
      <c r="R24" s="7"/>
      <c r="S24" s="7"/>
      <c r="T24" s="7"/>
      <c r="U24" s="7"/>
      <c r="V24" s="7"/>
      <c r="W24" s="7"/>
      <c r="X24" s="7"/>
      <c r="Y24" s="7"/>
    </row>
    <row r="25" spans="1:25">
      <c r="A25" s="7"/>
      <c r="B25" s="7"/>
      <c r="C25" s="7"/>
      <c r="D25" s="7"/>
      <c r="E25" s="7"/>
      <c r="F25" s="7"/>
      <c r="G25" s="7"/>
      <c r="H25" s="7"/>
      <c r="I25" s="7"/>
      <c r="J25" s="7"/>
      <c r="K25" s="7"/>
      <c r="L25" s="7"/>
      <c r="M25" s="7"/>
      <c r="N25" s="7"/>
      <c r="O25" s="7"/>
      <c r="P25" s="7"/>
      <c r="Q25" s="7"/>
      <c r="R25" s="7"/>
      <c r="S25" s="7"/>
      <c r="T25" s="7"/>
      <c r="U25" s="7"/>
      <c r="V25" s="7"/>
      <c r="W25" s="7"/>
      <c r="X25" s="7"/>
      <c r="Y25" s="7"/>
    </row>
    <row r="26" spans="1:25">
      <c r="A26" s="7"/>
      <c r="B26" s="7"/>
      <c r="C26" s="7"/>
      <c r="D26" s="7"/>
      <c r="E26" s="7"/>
      <c r="F26" s="7"/>
      <c r="G26" s="7"/>
      <c r="H26" s="7"/>
      <c r="I26" s="7"/>
      <c r="J26" s="7"/>
      <c r="K26" s="7"/>
      <c r="L26" s="7"/>
      <c r="M26" s="7"/>
      <c r="N26" s="7"/>
      <c r="O26" s="7"/>
      <c r="P26" s="7"/>
      <c r="Q26" s="7"/>
      <c r="R26" s="7"/>
      <c r="S26" s="7"/>
      <c r="T26" s="7"/>
      <c r="U26" s="7"/>
      <c r="V26" s="7"/>
      <c r="W26" s="7"/>
      <c r="X26" s="7"/>
      <c r="Y26" s="7"/>
    </row>
    <row r="27" spans="1:25">
      <c r="A27" s="7"/>
      <c r="B27" s="7"/>
      <c r="C27" s="7"/>
      <c r="D27" s="7"/>
      <c r="E27" s="7"/>
      <c r="F27" s="7"/>
      <c r="G27" s="7"/>
      <c r="H27" s="7"/>
      <c r="I27" s="7"/>
      <c r="J27" s="7"/>
      <c r="K27" s="7"/>
      <c r="L27" s="7"/>
      <c r="M27" s="7"/>
      <c r="N27" s="7"/>
      <c r="O27" s="7"/>
      <c r="P27" s="7"/>
      <c r="Q27" s="7"/>
      <c r="R27" s="7"/>
      <c r="S27" s="7"/>
      <c r="T27" s="7"/>
      <c r="U27" s="7"/>
      <c r="V27" s="7"/>
      <c r="W27" s="7"/>
      <c r="X27" s="7"/>
      <c r="Y27" s="7"/>
    </row>
    <row r="28" spans="1:25">
      <c r="A28" s="7"/>
      <c r="B28" s="7"/>
      <c r="C28" s="7"/>
      <c r="D28" s="7"/>
      <c r="E28" s="7"/>
      <c r="F28" s="7"/>
      <c r="G28" s="7"/>
      <c r="H28" s="7"/>
      <c r="I28" s="7"/>
      <c r="J28" s="7"/>
      <c r="K28" s="7"/>
      <c r="L28" s="7"/>
      <c r="M28" s="7"/>
      <c r="N28" s="7"/>
      <c r="O28" s="7"/>
      <c r="P28" s="7"/>
      <c r="Q28" s="7"/>
      <c r="R28" s="7"/>
      <c r="S28" s="7"/>
      <c r="T28" s="7"/>
      <c r="U28" s="7"/>
      <c r="V28" s="7"/>
      <c r="W28" s="7"/>
      <c r="X28" s="7"/>
      <c r="Y28" s="7"/>
    </row>
    <row r="29" spans="1:25">
      <c r="A29" s="7"/>
      <c r="B29" s="7"/>
      <c r="C29" s="7"/>
      <c r="D29" s="7"/>
      <c r="E29" s="7"/>
      <c r="F29" s="7"/>
      <c r="G29" s="7"/>
      <c r="H29" s="7"/>
      <c r="I29" s="7"/>
      <c r="J29" s="7"/>
      <c r="K29" s="7"/>
      <c r="L29" s="7"/>
      <c r="M29" s="7"/>
      <c r="N29" s="7"/>
      <c r="O29" s="7"/>
      <c r="P29" s="7"/>
      <c r="Q29" s="7"/>
      <c r="R29" s="7"/>
      <c r="S29" s="7"/>
      <c r="T29" s="7"/>
      <c r="U29" s="7"/>
      <c r="V29" s="7"/>
      <c r="W29" s="7"/>
      <c r="X29" s="7"/>
      <c r="Y29" s="7"/>
    </row>
    <row r="30" spans="1:25">
      <c r="A30" s="7"/>
      <c r="B30" s="7"/>
      <c r="C30" s="7"/>
      <c r="D30" s="7"/>
      <c r="E30" s="7"/>
      <c r="F30" s="7"/>
      <c r="G30" s="7"/>
      <c r="H30" s="7"/>
      <c r="I30" s="7"/>
      <c r="J30" s="7"/>
      <c r="K30" s="7"/>
      <c r="L30" s="7"/>
      <c r="M30" s="7"/>
      <c r="N30" s="7"/>
      <c r="O30" s="7"/>
      <c r="P30" s="7"/>
      <c r="Q30" s="7"/>
      <c r="R30" s="7"/>
      <c r="S30" s="7"/>
      <c r="T30" s="7"/>
      <c r="U30" s="7"/>
      <c r="V30" s="7"/>
      <c r="W30" s="7"/>
      <c r="X30" s="7"/>
      <c r="Y30" s="7"/>
    </row>
    <row r="31" spans="1:25">
      <c r="A31" s="7"/>
      <c r="B31" s="7"/>
      <c r="C31" s="7"/>
      <c r="D31" s="7"/>
      <c r="E31" s="7"/>
      <c r="F31" s="7"/>
      <c r="G31" s="7"/>
      <c r="H31" s="7"/>
      <c r="I31" s="7"/>
      <c r="J31" s="7"/>
      <c r="K31" s="7"/>
      <c r="L31" s="7"/>
      <c r="M31" s="7"/>
      <c r="N31" s="7"/>
      <c r="O31" s="7"/>
      <c r="P31" s="7"/>
      <c r="Q31" s="7"/>
      <c r="R31" s="7"/>
      <c r="S31" s="7"/>
      <c r="T31" s="7"/>
      <c r="U31" s="7"/>
      <c r="V31" s="7"/>
      <c r="W31" s="7"/>
      <c r="X31" s="7"/>
      <c r="Y31" s="7"/>
    </row>
    <row r="32" spans="1:25">
      <c r="A32" s="7"/>
      <c r="B32" s="7"/>
      <c r="C32" s="7"/>
      <c r="D32" s="7"/>
      <c r="E32" s="7"/>
      <c r="F32" s="7"/>
      <c r="G32" s="7"/>
      <c r="H32" s="7"/>
      <c r="I32" s="7"/>
      <c r="J32" s="7"/>
      <c r="K32" s="7"/>
      <c r="L32" s="7"/>
      <c r="M32" s="7"/>
      <c r="N32" s="7"/>
      <c r="O32" s="7"/>
      <c r="P32" s="7"/>
      <c r="Q32" s="7"/>
      <c r="R32" s="7"/>
      <c r="S32" s="7"/>
      <c r="T32" s="7"/>
      <c r="U32" s="7"/>
      <c r="V32" s="7"/>
      <c r="W32" s="7"/>
      <c r="X32" s="7"/>
      <c r="Y32" s="7"/>
    </row>
    <row r="33" spans="1:25">
      <c r="A33" s="7"/>
      <c r="B33" s="7"/>
      <c r="C33" s="7"/>
      <c r="D33" s="7"/>
      <c r="E33" s="7"/>
      <c r="F33" s="7"/>
      <c r="G33" s="7"/>
      <c r="H33" s="7"/>
      <c r="I33" s="7"/>
      <c r="J33" s="7"/>
      <c r="K33" s="7"/>
      <c r="L33" s="7"/>
      <c r="M33" s="7"/>
      <c r="N33" s="7"/>
      <c r="O33" s="7"/>
      <c r="P33" s="7"/>
      <c r="Q33" s="7"/>
      <c r="R33" s="7"/>
      <c r="S33" s="7"/>
      <c r="T33" s="7"/>
      <c r="U33" s="7"/>
      <c r="V33" s="7"/>
      <c r="W33" s="7"/>
      <c r="X33" s="7"/>
      <c r="Y33" s="7"/>
    </row>
    <row r="34" spans="1:25">
      <c r="A34" s="7"/>
      <c r="B34" s="7"/>
      <c r="C34" s="7"/>
      <c r="D34" s="7"/>
      <c r="E34" s="7"/>
      <c r="F34" s="7"/>
      <c r="G34" s="7"/>
      <c r="H34" s="7"/>
      <c r="I34" s="7"/>
      <c r="J34" s="7"/>
      <c r="K34" s="7"/>
      <c r="L34" s="7"/>
      <c r="M34" s="7"/>
      <c r="N34" s="7"/>
      <c r="O34" s="7"/>
      <c r="P34" s="7"/>
      <c r="Q34" s="7"/>
      <c r="R34" s="7"/>
      <c r="S34" s="7"/>
      <c r="T34" s="7"/>
      <c r="U34" s="7"/>
      <c r="V34" s="7"/>
      <c r="W34" s="7"/>
      <c r="X34" s="7"/>
      <c r="Y34" s="7"/>
    </row>
    <row r="35" spans="1:25">
      <c r="A35" s="7"/>
      <c r="B35" s="7"/>
      <c r="C35" s="7"/>
      <c r="D35" s="7"/>
      <c r="E35" s="7"/>
      <c r="F35" s="7"/>
      <c r="G35" s="7"/>
      <c r="H35" s="7"/>
      <c r="I35" s="7"/>
      <c r="J35" s="7"/>
      <c r="K35" s="7"/>
      <c r="L35" s="7"/>
      <c r="M35" s="7"/>
      <c r="N35" s="7"/>
      <c r="O35" s="7"/>
      <c r="P35" s="7"/>
      <c r="Q35" s="7"/>
      <c r="R35" s="7"/>
      <c r="S35" s="7"/>
      <c r="T35" s="7"/>
      <c r="U35" s="7"/>
      <c r="V35" s="7"/>
      <c r="W35" s="7"/>
      <c r="X35" s="7"/>
      <c r="Y35" s="7"/>
    </row>
    <row r="36" spans="1:25">
      <c r="A36" s="7"/>
      <c r="B36" s="7"/>
      <c r="C36" s="7"/>
      <c r="D36" s="7"/>
      <c r="E36" s="7"/>
      <c r="F36" s="7"/>
      <c r="G36" s="7"/>
      <c r="H36" s="7"/>
      <c r="I36" s="7"/>
      <c r="J36" s="7"/>
      <c r="K36" s="7"/>
      <c r="L36" s="7"/>
      <c r="M36" s="7"/>
      <c r="N36" s="7"/>
      <c r="O36" s="7"/>
      <c r="P36" s="7"/>
      <c r="Q36" s="7"/>
      <c r="R36" s="7"/>
      <c r="S36" s="7"/>
      <c r="T36" s="7"/>
      <c r="U36" s="7"/>
      <c r="V36" s="7"/>
      <c r="W36" s="7"/>
      <c r="X36" s="7"/>
      <c r="Y36" s="7"/>
    </row>
    <row r="37" spans="1:25">
      <c r="A37" s="7"/>
      <c r="B37" s="7"/>
      <c r="C37" s="7"/>
      <c r="D37" s="7"/>
      <c r="E37" s="7"/>
      <c r="F37" s="7"/>
      <c r="G37" s="7"/>
      <c r="H37" s="7"/>
      <c r="I37" s="7"/>
      <c r="J37" s="7"/>
      <c r="K37" s="7"/>
      <c r="L37" s="7"/>
      <c r="M37" s="7"/>
      <c r="N37" s="7"/>
      <c r="O37" s="7"/>
      <c r="P37" s="7"/>
      <c r="Q37" s="7"/>
      <c r="R37" s="7"/>
      <c r="S37" s="7"/>
      <c r="T37" s="7"/>
      <c r="U37" s="7"/>
      <c r="V37" s="7"/>
      <c r="W37" s="7"/>
      <c r="X37" s="7"/>
      <c r="Y37" s="7"/>
    </row>
    <row r="38" spans="1:25">
      <c r="A38" s="7"/>
      <c r="B38" s="7"/>
      <c r="C38" s="7"/>
      <c r="D38" s="7"/>
      <c r="E38" s="7"/>
      <c r="F38" s="7"/>
      <c r="G38" s="7"/>
      <c r="H38" s="7"/>
      <c r="I38" s="7"/>
      <c r="J38" s="7"/>
      <c r="K38" s="7"/>
      <c r="L38" s="7"/>
      <c r="M38" s="7"/>
      <c r="N38" s="7"/>
      <c r="O38" s="7"/>
      <c r="P38" s="7"/>
      <c r="Q38" s="7"/>
      <c r="R38" s="7"/>
      <c r="S38" s="7"/>
      <c r="T38" s="7"/>
      <c r="U38" s="7"/>
      <c r="V38" s="7"/>
      <c r="W38" s="7"/>
      <c r="X38" s="7"/>
      <c r="Y38" s="7"/>
    </row>
    <row r="39" spans="1:25">
      <c r="A39" s="7"/>
      <c r="B39" s="7"/>
      <c r="C39" s="7"/>
      <c r="D39" s="7"/>
      <c r="E39" s="7"/>
      <c r="F39" s="7"/>
      <c r="G39" s="7"/>
      <c r="H39" s="7"/>
      <c r="I39" s="7"/>
      <c r="J39" s="7"/>
      <c r="K39" s="7"/>
      <c r="L39" s="7"/>
      <c r="M39" s="7"/>
      <c r="N39" s="7"/>
      <c r="O39" s="7"/>
      <c r="P39" s="7"/>
      <c r="Q39" s="7"/>
      <c r="R39" s="7"/>
      <c r="S39" s="7"/>
      <c r="T39" s="7"/>
      <c r="U39" s="7"/>
      <c r="V39" s="7"/>
      <c r="W39" s="7"/>
      <c r="X39" s="7"/>
      <c r="Y39" s="7"/>
    </row>
    <row r="40" spans="1:25">
      <c r="A40" s="7"/>
      <c r="B40" s="7"/>
      <c r="C40" s="7"/>
      <c r="D40" s="7"/>
      <c r="E40" s="7"/>
      <c r="F40" s="7"/>
      <c r="G40" s="7"/>
      <c r="H40" s="7"/>
      <c r="I40" s="7"/>
      <c r="J40" s="7"/>
      <c r="K40" s="7"/>
      <c r="L40" s="7"/>
      <c r="M40" s="7"/>
      <c r="N40" s="7"/>
      <c r="O40" s="7"/>
      <c r="P40" s="7"/>
      <c r="Q40" s="7"/>
      <c r="R40" s="7"/>
      <c r="S40" s="7"/>
      <c r="T40" s="7"/>
      <c r="U40" s="7"/>
      <c r="V40" s="7"/>
      <c r="W40" s="7"/>
      <c r="X40" s="7"/>
      <c r="Y40" s="7"/>
    </row>
    <row r="41" spans="1:25">
      <c r="A41" s="7"/>
      <c r="B41" s="7"/>
      <c r="C41" s="7"/>
      <c r="D41" s="7"/>
      <c r="E41" s="7"/>
      <c r="F41" s="7"/>
      <c r="G41" s="7"/>
      <c r="H41" s="7"/>
      <c r="I41" s="7"/>
      <c r="J41" s="7"/>
      <c r="K41" s="7"/>
      <c r="L41" s="7"/>
      <c r="M41" s="7"/>
      <c r="N41" s="7"/>
      <c r="O41" s="7"/>
      <c r="P41" s="7"/>
      <c r="Q41" s="7"/>
      <c r="R41" s="7"/>
      <c r="S41" s="7"/>
      <c r="T41" s="7"/>
      <c r="U41" s="7"/>
      <c r="V41" s="7"/>
      <c r="W41" s="7"/>
      <c r="X41" s="7"/>
      <c r="Y41" s="7"/>
    </row>
    <row r="42" spans="1:25">
      <c r="A42" s="7"/>
      <c r="B42" s="7"/>
      <c r="C42" s="7"/>
      <c r="D42" s="7"/>
      <c r="E42" s="7"/>
      <c r="F42" s="7"/>
      <c r="G42" s="7"/>
      <c r="H42" s="7"/>
      <c r="I42" s="7"/>
      <c r="J42" s="7"/>
      <c r="K42" s="7"/>
      <c r="L42" s="7"/>
      <c r="M42" s="7"/>
      <c r="N42" s="7"/>
      <c r="O42" s="7"/>
      <c r="P42" s="7"/>
      <c r="Q42" s="7"/>
      <c r="R42" s="7"/>
      <c r="S42" s="7"/>
      <c r="T42" s="7"/>
      <c r="U42" s="7"/>
      <c r="V42" s="7"/>
      <c r="W42" s="7"/>
      <c r="X42" s="7"/>
      <c r="Y42" s="7"/>
    </row>
    <row r="43" spans="1:25">
      <c r="A43" s="7"/>
      <c r="B43" s="7"/>
      <c r="C43" s="7"/>
      <c r="D43" s="7"/>
      <c r="E43" s="7"/>
      <c r="F43" s="7"/>
      <c r="G43" s="7"/>
      <c r="H43" s="7"/>
      <c r="I43" s="7"/>
      <c r="J43" s="7"/>
      <c r="K43" s="7"/>
      <c r="L43" s="7"/>
      <c r="M43" s="7"/>
      <c r="N43" s="7"/>
      <c r="O43" s="7"/>
      <c r="P43" s="7"/>
      <c r="Q43" s="7"/>
      <c r="R43" s="7"/>
      <c r="S43" s="7"/>
      <c r="T43" s="7"/>
      <c r="U43" s="7"/>
      <c r="V43" s="7"/>
      <c r="W43" s="7"/>
      <c r="X43" s="7"/>
      <c r="Y43" s="7"/>
    </row>
    <row r="44" spans="1:25">
      <c r="A44" s="7"/>
      <c r="B44" s="7"/>
      <c r="C44" s="7"/>
      <c r="D44" s="7"/>
      <c r="E44" s="7"/>
      <c r="F44" s="7"/>
      <c r="G44" s="7"/>
      <c r="H44" s="7"/>
      <c r="I44" s="7"/>
      <c r="J44" s="7"/>
      <c r="K44" s="7"/>
      <c r="L44" s="7"/>
      <c r="M44" s="7"/>
      <c r="N44" s="7"/>
      <c r="O44" s="7"/>
      <c r="P44" s="7"/>
      <c r="Q44" s="7"/>
      <c r="R44" s="7"/>
      <c r="S44" s="7"/>
      <c r="T44" s="7"/>
      <c r="U44" s="7"/>
      <c r="V44" s="7"/>
      <c r="W44" s="7"/>
      <c r="X44" s="7"/>
      <c r="Y44" s="7"/>
    </row>
    <row r="45" spans="1:25">
      <c r="A45" s="7"/>
      <c r="B45" s="7"/>
      <c r="C45" s="7"/>
      <c r="D45" s="7"/>
      <c r="E45" s="7"/>
      <c r="F45" s="7"/>
      <c r="G45" s="7"/>
      <c r="H45" s="7"/>
      <c r="I45" s="7"/>
      <c r="J45" s="7"/>
      <c r="K45" s="7"/>
      <c r="L45" s="7"/>
      <c r="M45" s="7"/>
      <c r="N45" s="7"/>
      <c r="O45" s="7"/>
      <c r="P45" s="7"/>
      <c r="Q45" s="7"/>
      <c r="R45" s="7"/>
      <c r="S45" s="7"/>
      <c r="T45" s="7"/>
      <c r="U45" s="7"/>
      <c r="V45" s="7"/>
      <c r="W45" s="7"/>
      <c r="X45" s="7"/>
      <c r="Y45" s="7"/>
    </row>
    <row r="46" spans="1:25">
      <c r="A46" s="7"/>
      <c r="B46" s="7"/>
      <c r="C46" s="7"/>
      <c r="D46" s="7"/>
      <c r="E46" s="7"/>
      <c r="F46" s="7"/>
      <c r="G46" s="7"/>
      <c r="H46" s="7"/>
      <c r="I46" s="7"/>
      <c r="J46" s="7"/>
      <c r="K46" s="7"/>
      <c r="L46" s="7"/>
      <c r="M46" s="7"/>
      <c r="N46" s="7"/>
      <c r="O46" s="7"/>
      <c r="P46" s="7"/>
      <c r="Q46" s="7"/>
      <c r="R46" s="7"/>
      <c r="S46" s="7"/>
      <c r="T46" s="7"/>
      <c r="U46" s="7"/>
      <c r="V46" s="7"/>
      <c r="W46" s="7"/>
      <c r="X46" s="7"/>
      <c r="Y46" s="7"/>
    </row>
    <row r="47" spans="1:25">
      <c r="A47" s="7"/>
      <c r="B47" s="7"/>
      <c r="C47" s="7"/>
      <c r="D47" s="7"/>
      <c r="E47" s="7"/>
      <c r="F47" s="7"/>
      <c r="G47" s="7"/>
      <c r="H47" s="7"/>
      <c r="I47" s="7"/>
      <c r="J47" s="7"/>
      <c r="K47" s="7"/>
      <c r="L47" s="7"/>
      <c r="M47" s="7"/>
      <c r="N47" s="7"/>
      <c r="O47" s="7"/>
      <c r="P47" s="7"/>
      <c r="Q47" s="7"/>
      <c r="R47" s="7"/>
      <c r="S47" s="7"/>
      <c r="T47" s="7"/>
      <c r="U47" s="7"/>
      <c r="V47" s="7"/>
      <c r="W47" s="7"/>
      <c r="X47" s="7"/>
      <c r="Y47" s="7"/>
    </row>
    <row r="48" spans="1:25">
      <c r="A48" s="7"/>
      <c r="B48" s="7"/>
      <c r="C48" s="7"/>
      <c r="D48" s="7"/>
      <c r="E48" s="7"/>
      <c r="F48" s="7"/>
      <c r="G48" s="7"/>
      <c r="H48" s="7"/>
      <c r="I48" s="7"/>
      <c r="J48" s="7"/>
      <c r="K48" s="7"/>
      <c r="L48" s="7"/>
      <c r="M48" s="7"/>
      <c r="N48" s="7"/>
      <c r="O48" s="7"/>
      <c r="P48" s="7"/>
      <c r="Q48" s="7"/>
      <c r="R48" s="7"/>
      <c r="S48" s="7"/>
      <c r="T48" s="7"/>
      <c r="U48" s="7"/>
      <c r="V48" s="7"/>
      <c r="W48" s="7"/>
      <c r="X48" s="7"/>
      <c r="Y48" s="7"/>
    </row>
    <row r="49" spans="1:25">
      <c r="A49" s="7"/>
      <c r="B49" s="7"/>
      <c r="C49" s="7"/>
      <c r="D49" s="7"/>
      <c r="E49" s="7"/>
      <c r="F49" s="7"/>
      <c r="G49" s="7"/>
      <c r="H49" s="7"/>
      <c r="I49" s="7"/>
      <c r="J49" s="7"/>
      <c r="K49" s="7"/>
      <c r="L49" s="7"/>
      <c r="M49" s="7"/>
      <c r="N49" s="7"/>
      <c r="O49" s="7"/>
      <c r="P49" s="7"/>
      <c r="Q49" s="7"/>
      <c r="R49" s="7"/>
      <c r="S49" s="7"/>
      <c r="T49" s="7"/>
      <c r="U49" s="7"/>
      <c r="V49" s="7"/>
      <c r="W49" s="7"/>
      <c r="X49" s="7"/>
      <c r="Y49" s="7"/>
    </row>
    <row r="50" spans="1:25">
      <c r="A50" s="7"/>
      <c r="B50" s="7"/>
      <c r="C50" s="7"/>
      <c r="D50" s="7"/>
      <c r="E50" s="7"/>
      <c r="F50" s="7"/>
      <c r="G50" s="7"/>
      <c r="H50" s="7"/>
      <c r="I50" s="7"/>
      <c r="J50" s="7"/>
      <c r="K50" s="7"/>
      <c r="L50" s="7"/>
      <c r="M50" s="7"/>
      <c r="N50" s="7"/>
      <c r="O50" s="7"/>
      <c r="P50" s="7"/>
      <c r="Q50" s="7"/>
      <c r="R50" s="7"/>
      <c r="S50" s="7"/>
      <c r="T50" s="7"/>
      <c r="U50" s="7"/>
      <c r="V50" s="7"/>
      <c r="W50" s="7"/>
      <c r="X50" s="7"/>
      <c r="Y50" s="7"/>
    </row>
    <row r="51" spans="1:25">
      <c r="A51" s="7"/>
      <c r="B51" s="7"/>
      <c r="C51" s="7"/>
      <c r="D51" s="7"/>
      <c r="E51" s="7"/>
      <c r="F51" s="7"/>
      <c r="G51" s="7"/>
      <c r="H51" s="7"/>
      <c r="I51" s="7"/>
      <c r="J51" s="7"/>
      <c r="K51" s="7"/>
      <c r="L51" s="7"/>
      <c r="M51" s="7"/>
      <c r="N51" s="7"/>
      <c r="O51" s="7"/>
      <c r="P51" s="7"/>
      <c r="Q51" s="7"/>
      <c r="R51" s="7"/>
      <c r="S51" s="7"/>
      <c r="T51" s="7"/>
      <c r="U51" s="7"/>
      <c r="V51" s="7"/>
      <c r="W51" s="7"/>
      <c r="X51" s="7"/>
      <c r="Y51" s="7"/>
    </row>
    <row r="52" spans="1:25">
      <c r="A52" s="7"/>
      <c r="B52" s="7"/>
      <c r="C52" s="7"/>
      <c r="D52" s="7"/>
      <c r="E52" s="7"/>
      <c r="F52" s="7"/>
      <c r="G52" s="7"/>
      <c r="H52" s="7"/>
      <c r="I52" s="7"/>
      <c r="J52" s="7"/>
      <c r="K52" s="7"/>
      <c r="L52" s="7"/>
      <c r="M52" s="7"/>
      <c r="N52" s="7"/>
      <c r="O52" s="7"/>
      <c r="P52" s="7"/>
      <c r="Q52" s="7"/>
      <c r="R52" s="7"/>
      <c r="S52" s="7"/>
      <c r="T52" s="7"/>
      <c r="U52" s="7"/>
      <c r="V52" s="7"/>
      <c r="W52" s="7"/>
      <c r="X52" s="7"/>
      <c r="Y52" s="7"/>
    </row>
    <row r="53" spans="1:25">
      <c r="A53" s="7"/>
      <c r="B53" s="7"/>
      <c r="C53" s="7"/>
      <c r="D53" s="7"/>
      <c r="E53" s="7"/>
      <c r="F53" s="7"/>
      <c r="G53" s="7"/>
      <c r="H53" s="7"/>
      <c r="I53" s="7"/>
      <c r="J53" s="7"/>
      <c r="K53" s="7"/>
      <c r="L53" s="7"/>
      <c r="M53" s="7"/>
      <c r="N53" s="7"/>
      <c r="O53" s="7"/>
      <c r="P53" s="7"/>
      <c r="Q53" s="7"/>
      <c r="R53" s="7"/>
      <c r="S53" s="7"/>
      <c r="T53" s="7"/>
      <c r="U53" s="7"/>
      <c r="V53" s="7"/>
      <c r="W53" s="7"/>
      <c r="X53" s="7"/>
      <c r="Y53" s="7"/>
    </row>
    <row r="54" spans="1:25">
      <c r="A54" s="7"/>
      <c r="B54" s="7"/>
      <c r="C54" s="7"/>
      <c r="D54" s="7"/>
      <c r="E54" s="7"/>
      <c r="F54" s="7"/>
      <c r="G54" s="7"/>
      <c r="H54" s="7"/>
      <c r="I54" s="7"/>
      <c r="J54" s="7"/>
      <c r="K54" s="7"/>
      <c r="L54" s="7"/>
      <c r="M54" s="7"/>
      <c r="N54" s="7"/>
      <c r="O54" s="7"/>
      <c r="P54" s="7"/>
      <c r="Q54" s="7"/>
      <c r="R54" s="7"/>
      <c r="S54" s="7"/>
      <c r="T54" s="7"/>
      <c r="U54" s="7"/>
      <c r="V54" s="7"/>
      <c r="W54" s="7"/>
      <c r="X54" s="7"/>
      <c r="Y54" s="7"/>
    </row>
    <row r="55" spans="1:25">
      <c r="A55" s="7"/>
      <c r="B55" s="7"/>
      <c r="C55" s="7"/>
      <c r="D55" s="7"/>
      <c r="E55" s="7"/>
      <c r="F55" s="7"/>
      <c r="G55" s="7"/>
      <c r="H55" s="7"/>
      <c r="I55" s="7"/>
      <c r="J55" s="7"/>
      <c r="K55" s="7"/>
      <c r="L55" s="7"/>
      <c r="M55" s="7"/>
      <c r="N55" s="7"/>
      <c r="O55" s="7"/>
      <c r="P55" s="7"/>
      <c r="Q55" s="7"/>
      <c r="R55" s="7"/>
      <c r="S55" s="7"/>
      <c r="T55" s="7"/>
      <c r="U55" s="7"/>
      <c r="V55" s="7"/>
      <c r="W55" s="7"/>
      <c r="X55" s="7"/>
      <c r="Y55" s="7"/>
    </row>
    <row r="56" spans="1:25">
      <c r="A56" s="7"/>
      <c r="B56" s="7"/>
      <c r="C56" s="7"/>
      <c r="D56" s="7"/>
      <c r="E56" s="7"/>
      <c r="F56" s="7"/>
      <c r="G56" s="7"/>
      <c r="H56" s="7"/>
      <c r="I56" s="7"/>
      <c r="J56" s="7"/>
      <c r="K56" s="7"/>
      <c r="L56" s="7"/>
      <c r="M56" s="7"/>
      <c r="N56" s="7"/>
      <c r="O56" s="7"/>
      <c r="P56" s="7"/>
      <c r="Q56" s="7"/>
      <c r="R56" s="7"/>
      <c r="S56" s="7"/>
      <c r="T56" s="7"/>
      <c r="U56" s="7"/>
      <c r="V56" s="7"/>
      <c r="W56" s="7"/>
      <c r="X56" s="7"/>
      <c r="Y56" s="7"/>
    </row>
    <row r="57" spans="1:25">
      <c r="A57" s="7"/>
      <c r="B57" s="7"/>
      <c r="C57" s="7"/>
      <c r="D57" s="7"/>
      <c r="E57" s="7"/>
      <c r="F57" s="7"/>
      <c r="G57" s="7"/>
      <c r="H57" s="7"/>
      <c r="I57" s="7"/>
      <c r="J57" s="7"/>
      <c r="K57" s="7"/>
      <c r="L57" s="7"/>
      <c r="M57" s="7"/>
      <c r="N57" s="7"/>
      <c r="O57" s="7"/>
      <c r="P57" s="7"/>
      <c r="Q57" s="7"/>
      <c r="R57" s="7"/>
      <c r="S57" s="7"/>
      <c r="T57" s="7"/>
      <c r="U57" s="7"/>
      <c r="V57" s="7"/>
      <c r="W57" s="7"/>
      <c r="X57" s="7"/>
      <c r="Y57" s="7"/>
    </row>
    <row r="58" spans="1:25">
      <c r="A58" s="7"/>
      <c r="B58" s="7"/>
      <c r="C58" s="7"/>
      <c r="D58" s="7"/>
      <c r="E58" s="7"/>
      <c r="F58" s="7"/>
      <c r="G58" s="7"/>
      <c r="H58" s="7"/>
      <c r="I58" s="7"/>
      <c r="J58" s="7"/>
      <c r="K58" s="7"/>
      <c r="L58" s="7"/>
      <c r="M58" s="7"/>
      <c r="N58" s="7"/>
      <c r="O58" s="7"/>
      <c r="P58" s="7"/>
      <c r="Q58" s="7"/>
      <c r="R58" s="7"/>
      <c r="S58" s="7"/>
      <c r="T58" s="7"/>
      <c r="U58" s="7"/>
      <c r="V58" s="7"/>
      <c r="W58" s="7"/>
      <c r="X58" s="7"/>
      <c r="Y58" s="7"/>
    </row>
    <row r="59" spans="1:25">
      <c r="A59" s="7"/>
      <c r="B59" s="7"/>
      <c r="C59" s="7"/>
      <c r="D59" s="7"/>
      <c r="E59" s="7"/>
      <c r="F59" s="7"/>
      <c r="G59" s="7"/>
      <c r="H59" s="7"/>
      <c r="I59" s="7"/>
      <c r="J59" s="7"/>
      <c r="K59" s="7"/>
      <c r="L59" s="7"/>
      <c r="M59" s="7"/>
      <c r="N59" s="7"/>
      <c r="O59" s="7"/>
      <c r="P59" s="7"/>
      <c r="Q59" s="7"/>
      <c r="R59" s="7"/>
      <c r="S59" s="7"/>
      <c r="T59" s="7"/>
      <c r="U59" s="7"/>
      <c r="V59" s="7"/>
      <c r="W59" s="7"/>
      <c r="X59" s="7"/>
      <c r="Y59" s="7"/>
    </row>
    <row r="60" spans="1:25">
      <c r="A60" s="7"/>
      <c r="B60" s="7"/>
      <c r="C60" s="7"/>
      <c r="D60" s="7"/>
      <c r="E60" s="7"/>
      <c r="F60" s="7"/>
      <c r="G60" s="7"/>
      <c r="H60" s="7"/>
      <c r="I60" s="7"/>
      <c r="J60" s="7"/>
      <c r="K60" s="7"/>
      <c r="L60" s="7"/>
      <c r="M60" s="7"/>
      <c r="N60" s="7"/>
      <c r="O60" s="7"/>
      <c r="P60" s="7"/>
      <c r="Q60" s="7"/>
      <c r="R60" s="7"/>
      <c r="S60" s="7"/>
      <c r="T60" s="7"/>
      <c r="U60" s="7"/>
      <c r="V60" s="7"/>
      <c r="W60" s="7"/>
      <c r="X60" s="7"/>
      <c r="Y60" s="7"/>
    </row>
    <row r="61" spans="1:25">
      <c r="A61" s="7"/>
      <c r="B61" s="7"/>
      <c r="C61" s="7"/>
      <c r="D61" s="7"/>
      <c r="E61" s="7"/>
      <c r="F61" s="7"/>
      <c r="G61" s="7"/>
      <c r="H61" s="7"/>
      <c r="I61" s="7"/>
      <c r="J61" s="7"/>
      <c r="K61" s="7"/>
      <c r="L61" s="7"/>
      <c r="M61" s="7"/>
      <c r="N61" s="7"/>
      <c r="O61" s="7"/>
      <c r="P61" s="7"/>
      <c r="Q61" s="7"/>
      <c r="R61" s="7"/>
      <c r="S61" s="7"/>
      <c r="T61" s="7"/>
      <c r="U61" s="7"/>
      <c r="V61" s="7"/>
      <c r="W61" s="7"/>
      <c r="X61" s="7"/>
      <c r="Y61" s="7"/>
    </row>
    <row r="62" spans="1:25">
      <c r="A62" s="7"/>
      <c r="B62" s="7"/>
      <c r="C62" s="7"/>
      <c r="D62" s="7"/>
      <c r="E62" s="7"/>
      <c r="F62" s="7"/>
      <c r="G62" s="7"/>
      <c r="H62" s="7"/>
      <c r="I62" s="7"/>
      <c r="J62" s="7"/>
      <c r="K62" s="7"/>
      <c r="L62" s="7"/>
      <c r="M62" s="7"/>
      <c r="N62" s="7"/>
      <c r="O62" s="7"/>
      <c r="P62" s="7"/>
      <c r="Q62" s="7"/>
      <c r="R62" s="7"/>
      <c r="S62" s="7"/>
      <c r="T62" s="7"/>
      <c r="U62" s="7"/>
      <c r="V62" s="7"/>
      <c r="W62" s="7"/>
      <c r="X62" s="7"/>
      <c r="Y62" s="7"/>
    </row>
    <row r="63" spans="1:25">
      <c r="A63" s="7"/>
      <c r="B63" s="7"/>
      <c r="C63" s="7"/>
      <c r="D63" s="7"/>
      <c r="E63" s="7"/>
      <c r="F63" s="7"/>
      <c r="G63" s="7"/>
      <c r="H63" s="7"/>
      <c r="I63" s="7"/>
      <c r="J63" s="7"/>
      <c r="K63" s="7"/>
      <c r="L63" s="7"/>
      <c r="M63" s="7"/>
      <c r="N63" s="7"/>
      <c r="O63" s="7"/>
      <c r="P63" s="7"/>
      <c r="Q63" s="7"/>
      <c r="R63" s="7"/>
      <c r="S63" s="7"/>
      <c r="T63" s="7"/>
      <c r="U63" s="7"/>
      <c r="V63" s="7"/>
      <c r="W63" s="7"/>
      <c r="X63" s="7"/>
      <c r="Y63" s="7"/>
    </row>
    <row r="64" spans="1:25">
      <c r="A64" s="7"/>
      <c r="B64" s="7"/>
      <c r="C64" s="7"/>
      <c r="D64" s="7"/>
      <c r="E64" s="7"/>
      <c r="F64" s="7"/>
      <c r="G64" s="7"/>
      <c r="H64" s="7"/>
      <c r="I64" s="7"/>
      <c r="J64" s="7"/>
      <c r="K64" s="7"/>
      <c r="L64" s="7"/>
      <c r="M64" s="7"/>
      <c r="N64" s="7"/>
      <c r="O64" s="7"/>
      <c r="P64" s="7"/>
      <c r="Q64" s="7"/>
      <c r="R64" s="7"/>
      <c r="S64" s="7"/>
      <c r="T64" s="7"/>
      <c r="U64" s="7"/>
      <c r="V64" s="7"/>
      <c r="W64" s="7"/>
      <c r="X64" s="7"/>
      <c r="Y64" s="7"/>
    </row>
    <row r="65" spans="1:25">
      <c r="A65" s="7"/>
      <c r="B65" s="7"/>
      <c r="C65" s="7"/>
      <c r="D65" s="7"/>
      <c r="E65" s="7"/>
      <c r="F65" s="7"/>
      <c r="G65" s="7"/>
      <c r="H65" s="7"/>
      <c r="I65" s="7"/>
      <c r="J65" s="7"/>
      <c r="K65" s="7"/>
      <c r="L65" s="7"/>
      <c r="M65" s="7"/>
      <c r="N65" s="7"/>
      <c r="O65" s="7"/>
      <c r="P65" s="7"/>
      <c r="Q65" s="7"/>
      <c r="R65" s="7"/>
      <c r="S65" s="7"/>
      <c r="T65" s="7"/>
      <c r="U65" s="7"/>
      <c r="V65" s="7"/>
      <c r="W65" s="7"/>
      <c r="X65" s="7"/>
      <c r="Y65" s="7"/>
    </row>
    <row r="66" spans="1:25">
      <c r="A66" s="7"/>
      <c r="B66" s="7"/>
      <c r="C66" s="7"/>
      <c r="D66" s="7"/>
      <c r="E66" s="7"/>
      <c r="F66" s="7"/>
      <c r="G66" s="7"/>
      <c r="H66" s="7"/>
      <c r="I66" s="7"/>
      <c r="J66" s="7"/>
      <c r="K66" s="7"/>
      <c r="L66" s="7"/>
      <c r="M66" s="7"/>
      <c r="N66" s="7"/>
      <c r="O66" s="7"/>
      <c r="P66" s="7"/>
      <c r="Q66" s="7"/>
      <c r="R66" s="7"/>
      <c r="S66" s="7"/>
      <c r="T66" s="7"/>
      <c r="U66" s="7"/>
      <c r="V66" s="7"/>
      <c r="W66" s="7"/>
      <c r="X66" s="7"/>
      <c r="Y66" s="7"/>
    </row>
    <row r="67" spans="1:25">
      <c r="A67" s="7"/>
      <c r="B67" s="7"/>
      <c r="C67" s="7"/>
      <c r="D67" s="7"/>
      <c r="E67" s="7"/>
      <c r="F67" s="7"/>
      <c r="G67" s="7"/>
      <c r="H67" s="7"/>
      <c r="I67" s="7"/>
      <c r="J67" s="7"/>
      <c r="K67" s="7"/>
      <c r="L67" s="7"/>
      <c r="M67" s="7"/>
      <c r="N67" s="7"/>
      <c r="O67" s="7"/>
      <c r="P67" s="7"/>
      <c r="Q67" s="7"/>
      <c r="R67" s="7"/>
      <c r="S67" s="7"/>
      <c r="T67" s="7"/>
      <c r="U67" s="7"/>
      <c r="V67" s="7"/>
      <c r="W67" s="7"/>
      <c r="X67" s="7"/>
      <c r="Y67" s="7"/>
    </row>
    <row r="68" spans="1:25">
      <c r="A68" s="7"/>
      <c r="B68" s="7"/>
      <c r="C68" s="7"/>
      <c r="D68" s="7"/>
      <c r="E68" s="7"/>
      <c r="F68" s="7"/>
      <c r="G68" s="7"/>
      <c r="H68" s="7"/>
      <c r="I68" s="7"/>
      <c r="J68" s="7"/>
      <c r="K68" s="7"/>
      <c r="L68" s="7"/>
      <c r="M68" s="7"/>
      <c r="N68" s="7"/>
      <c r="O68" s="7"/>
      <c r="P68" s="7"/>
      <c r="Q68" s="7"/>
      <c r="R68" s="7"/>
      <c r="S68" s="7"/>
      <c r="T68" s="7"/>
      <c r="U68" s="7"/>
      <c r="V68" s="7"/>
      <c r="W68" s="7"/>
      <c r="X68" s="7"/>
      <c r="Y68" s="7"/>
    </row>
    <row r="69" spans="1:25">
      <c r="A69" s="7"/>
      <c r="B69" s="7"/>
      <c r="C69" s="7"/>
      <c r="D69" s="7"/>
      <c r="E69" s="7"/>
      <c r="F69" s="7"/>
      <c r="G69" s="7"/>
      <c r="H69" s="7"/>
      <c r="I69" s="7"/>
      <c r="J69" s="7"/>
      <c r="K69" s="7"/>
      <c r="L69" s="7"/>
      <c r="M69" s="7"/>
      <c r="N69" s="7"/>
      <c r="O69" s="7"/>
      <c r="P69" s="7"/>
      <c r="Q69" s="7"/>
      <c r="R69" s="7"/>
      <c r="S69" s="7"/>
      <c r="T69" s="7"/>
      <c r="U69" s="7"/>
      <c r="V69" s="7"/>
      <c r="W69" s="7"/>
      <c r="X69" s="7"/>
      <c r="Y69" s="7"/>
    </row>
    <row r="70" spans="1:25">
      <c r="A70" s="7"/>
      <c r="B70" s="7"/>
      <c r="C70" s="7"/>
      <c r="D70" s="7"/>
      <c r="E70" s="7"/>
      <c r="F70" s="7"/>
      <c r="G70" s="7"/>
      <c r="H70" s="7"/>
      <c r="I70" s="7"/>
      <c r="J70" s="7"/>
      <c r="K70" s="7"/>
      <c r="L70" s="7"/>
      <c r="M70" s="7"/>
      <c r="N70" s="7"/>
      <c r="O70" s="7"/>
      <c r="P70" s="7"/>
      <c r="Q70" s="7"/>
      <c r="R70" s="7"/>
      <c r="S70" s="7"/>
      <c r="T70" s="7"/>
      <c r="U70" s="7"/>
      <c r="V70" s="7"/>
      <c r="W70" s="7"/>
      <c r="X70" s="7"/>
      <c r="Y70" s="7"/>
    </row>
    <row r="71" spans="1:25">
      <c r="A71" s="7"/>
      <c r="B71" s="7"/>
      <c r="C71" s="7"/>
      <c r="D71" s="7"/>
      <c r="E71" s="7"/>
      <c r="F71" s="7"/>
      <c r="G71" s="7"/>
      <c r="H71" s="7"/>
      <c r="I71" s="7"/>
      <c r="J71" s="7"/>
      <c r="K71" s="7"/>
      <c r="L71" s="7"/>
      <c r="M71" s="7"/>
      <c r="N71" s="7"/>
      <c r="O71" s="7"/>
      <c r="P71" s="7"/>
      <c r="Q71" s="7"/>
      <c r="R71" s="7"/>
      <c r="S71" s="7"/>
      <c r="T71" s="7"/>
      <c r="U71" s="7"/>
      <c r="V71" s="7"/>
      <c r="W71" s="7"/>
      <c r="X71" s="7"/>
      <c r="Y71" s="7"/>
    </row>
    <row r="72" spans="1:25">
      <c r="A72" s="7"/>
      <c r="B72" s="7"/>
      <c r="C72" s="7"/>
      <c r="D72" s="7"/>
      <c r="E72" s="7"/>
      <c r="F72" s="7"/>
      <c r="G72" s="7"/>
      <c r="H72" s="7"/>
      <c r="I72" s="7"/>
      <c r="J72" s="7"/>
      <c r="K72" s="7"/>
      <c r="L72" s="7"/>
      <c r="M72" s="7"/>
      <c r="N72" s="7"/>
      <c r="O72" s="7"/>
      <c r="P72" s="7"/>
      <c r="Q72" s="7"/>
      <c r="R72" s="7"/>
      <c r="S72" s="7"/>
      <c r="T72" s="7"/>
      <c r="U72" s="7"/>
      <c r="V72" s="7"/>
      <c r="W72" s="7"/>
      <c r="X72" s="7"/>
      <c r="Y72" s="7"/>
    </row>
    <row r="73" spans="1:25">
      <c r="A73" s="7"/>
      <c r="B73" s="7"/>
      <c r="C73" s="7"/>
      <c r="D73" s="7"/>
      <c r="E73" s="7"/>
      <c r="F73" s="7"/>
      <c r="G73" s="7"/>
      <c r="H73" s="7"/>
      <c r="I73" s="7"/>
      <c r="J73" s="7"/>
      <c r="K73" s="7"/>
      <c r="L73" s="7"/>
      <c r="M73" s="7"/>
      <c r="N73" s="7"/>
      <c r="O73" s="7"/>
      <c r="P73" s="7"/>
      <c r="Q73" s="7"/>
      <c r="R73" s="7"/>
      <c r="S73" s="7"/>
      <c r="T73" s="7"/>
      <c r="U73" s="7"/>
      <c r="V73" s="7"/>
      <c r="W73" s="7"/>
      <c r="X73" s="7"/>
      <c r="Y73" s="7"/>
    </row>
    <row r="74" spans="1:25">
      <c r="A74" s="7"/>
      <c r="B74" s="7"/>
      <c r="C74" s="7"/>
      <c r="D74" s="7"/>
      <c r="E74" s="7"/>
      <c r="F74" s="7"/>
      <c r="G74" s="7"/>
      <c r="H74" s="7"/>
      <c r="I74" s="7"/>
      <c r="J74" s="7"/>
      <c r="K74" s="7"/>
      <c r="L74" s="7"/>
      <c r="M74" s="7"/>
      <c r="N74" s="7"/>
      <c r="O74" s="7"/>
      <c r="P74" s="7"/>
      <c r="Q74" s="7"/>
      <c r="R74" s="7"/>
      <c r="S74" s="7"/>
      <c r="T74" s="7"/>
      <c r="U74" s="7"/>
      <c r="V74" s="7"/>
      <c r="W74" s="7"/>
      <c r="X74" s="7"/>
      <c r="Y74" s="7"/>
    </row>
    <row r="75" spans="1:25">
      <c r="A75" s="7"/>
      <c r="B75" s="7"/>
      <c r="C75" s="7"/>
      <c r="D75" s="7"/>
      <c r="E75" s="7"/>
      <c r="F75" s="7"/>
      <c r="G75" s="7"/>
      <c r="H75" s="7"/>
      <c r="I75" s="7"/>
      <c r="J75" s="7"/>
      <c r="K75" s="7"/>
      <c r="L75" s="7"/>
      <c r="M75" s="7"/>
      <c r="N75" s="7"/>
      <c r="O75" s="7"/>
      <c r="P75" s="7"/>
      <c r="Q75" s="7"/>
      <c r="R75" s="7"/>
      <c r="S75" s="7"/>
      <c r="T75" s="7"/>
      <c r="U75" s="7"/>
      <c r="V75" s="7"/>
      <c r="W75" s="7"/>
      <c r="X75" s="7"/>
      <c r="Y75" s="7"/>
    </row>
    <row r="76" spans="1:25">
      <c r="A76" s="7"/>
      <c r="B76" s="7"/>
      <c r="C76" s="7"/>
      <c r="D76" s="7"/>
      <c r="E76" s="7"/>
      <c r="F76" s="7"/>
      <c r="G76" s="7"/>
      <c r="H76" s="7"/>
      <c r="I76" s="7"/>
      <c r="J76" s="7"/>
      <c r="K76" s="7"/>
      <c r="L76" s="7"/>
      <c r="M76" s="7"/>
      <c r="N76" s="7"/>
      <c r="O76" s="7"/>
      <c r="P76" s="7"/>
      <c r="Q76" s="7"/>
      <c r="R76" s="7"/>
      <c r="S76" s="7"/>
      <c r="T76" s="7"/>
      <c r="U76" s="7"/>
      <c r="V76" s="7"/>
      <c r="W76" s="7"/>
      <c r="X76" s="7"/>
      <c r="Y76" s="7"/>
    </row>
    <row r="77" spans="1:25">
      <c r="A77" s="7"/>
      <c r="B77" s="7"/>
      <c r="C77" s="7"/>
      <c r="D77" s="7"/>
      <c r="E77" s="7"/>
      <c r="F77" s="7"/>
      <c r="G77" s="7"/>
      <c r="H77" s="7"/>
      <c r="I77" s="7"/>
      <c r="J77" s="7"/>
      <c r="K77" s="7"/>
      <c r="L77" s="7"/>
      <c r="M77" s="7"/>
      <c r="N77" s="7"/>
      <c r="O77" s="7"/>
      <c r="P77" s="7"/>
      <c r="Q77" s="7"/>
      <c r="R77" s="7"/>
      <c r="S77" s="7"/>
      <c r="T77" s="7"/>
      <c r="U77" s="7"/>
      <c r="V77" s="7"/>
      <c r="W77" s="7"/>
      <c r="X77" s="7"/>
      <c r="Y77" s="7"/>
    </row>
    <row r="78" spans="1:25">
      <c r="A78" s="7"/>
      <c r="B78" s="7"/>
      <c r="C78" s="7"/>
      <c r="D78" s="7"/>
      <c r="E78" s="7"/>
      <c r="F78" s="7"/>
      <c r="G78" s="7"/>
      <c r="H78" s="7"/>
      <c r="I78" s="7"/>
      <c r="J78" s="7"/>
      <c r="K78" s="7"/>
      <c r="L78" s="7"/>
      <c r="M78" s="7"/>
      <c r="N78" s="7"/>
      <c r="O78" s="7"/>
      <c r="P78" s="7"/>
      <c r="Q78" s="7"/>
      <c r="R78" s="7"/>
      <c r="S78" s="7"/>
      <c r="T78" s="7"/>
      <c r="U78" s="7"/>
      <c r="V78" s="7"/>
      <c r="W78" s="7"/>
      <c r="X78" s="7"/>
      <c r="Y78" s="7"/>
    </row>
    <row r="79" spans="1:25">
      <c r="A79" s="7"/>
      <c r="B79" s="7"/>
      <c r="C79" s="7"/>
      <c r="D79" s="7"/>
      <c r="E79" s="7"/>
      <c r="F79" s="7"/>
      <c r="G79" s="7"/>
      <c r="H79" s="7"/>
      <c r="I79" s="7"/>
      <c r="J79" s="7"/>
      <c r="K79" s="7"/>
      <c r="L79" s="7"/>
      <c r="M79" s="7"/>
      <c r="N79" s="7"/>
      <c r="O79" s="7"/>
      <c r="P79" s="7"/>
      <c r="Q79" s="7"/>
      <c r="R79" s="7"/>
      <c r="S79" s="7"/>
      <c r="T79" s="7"/>
      <c r="U79" s="7"/>
      <c r="V79" s="7"/>
      <c r="W79" s="7"/>
      <c r="X79" s="7"/>
      <c r="Y79" s="7"/>
    </row>
    <row r="80" spans="1:25">
      <c r="A80" s="7"/>
      <c r="B80" s="7"/>
      <c r="C80" s="7"/>
      <c r="D80" s="7"/>
      <c r="E80" s="7"/>
      <c r="F80" s="7"/>
      <c r="G80" s="7"/>
      <c r="H80" s="7"/>
      <c r="I80" s="7"/>
      <c r="J80" s="7"/>
      <c r="K80" s="7"/>
      <c r="L80" s="7"/>
      <c r="M80" s="7"/>
      <c r="N80" s="7"/>
      <c r="O80" s="7"/>
      <c r="P80" s="7"/>
      <c r="Q80" s="7"/>
      <c r="R80" s="7"/>
      <c r="S80" s="7"/>
      <c r="T80" s="7"/>
      <c r="U80" s="7"/>
      <c r="V80" s="7"/>
      <c r="W80" s="7"/>
      <c r="X80" s="7"/>
      <c r="Y80" s="7"/>
    </row>
    <row r="81" spans="1:25">
      <c r="A81" s="7"/>
      <c r="B81" s="7"/>
      <c r="C81" s="7"/>
      <c r="D81" s="7"/>
      <c r="E81" s="7"/>
      <c r="F81" s="7"/>
      <c r="G81" s="7"/>
      <c r="H81" s="7"/>
      <c r="I81" s="7"/>
      <c r="J81" s="7"/>
      <c r="K81" s="7"/>
      <c r="L81" s="7"/>
      <c r="M81" s="7"/>
      <c r="N81" s="7"/>
      <c r="O81" s="7"/>
      <c r="P81" s="7"/>
      <c r="Q81" s="7"/>
      <c r="R81" s="7"/>
      <c r="S81" s="7"/>
      <c r="T81" s="7"/>
      <c r="U81" s="7"/>
      <c r="V81" s="7"/>
      <c r="W81" s="7"/>
      <c r="X81" s="7"/>
      <c r="Y81" s="7"/>
    </row>
    <row r="82" spans="1:25">
      <c r="A82" s="7"/>
      <c r="B82" s="7"/>
      <c r="C82" s="7"/>
      <c r="D82" s="7"/>
      <c r="E82" s="7"/>
      <c r="F82" s="7"/>
      <c r="G82" s="7"/>
      <c r="H82" s="7"/>
      <c r="I82" s="7"/>
      <c r="J82" s="7"/>
      <c r="K82" s="7"/>
      <c r="L82" s="7"/>
      <c r="M82" s="7"/>
      <c r="N82" s="7"/>
      <c r="O82" s="7"/>
      <c r="P82" s="7"/>
      <c r="Q82" s="7"/>
      <c r="R82" s="7"/>
      <c r="S82" s="7"/>
      <c r="T82" s="7"/>
      <c r="U82" s="7"/>
      <c r="V82" s="7"/>
      <c r="W82" s="7"/>
      <c r="X82" s="7"/>
      <c r="Y82" s="7"/>
    </row>
    <row r="83" spans="1:25">
      <c r="A83" s="7"/>
      <c r="B83" s="7"/>
      <c r="C83" s="7"/>
      <c r="D83" s="7"/>
      <c r="E83" s="7"/>
      <c r="F83" s="7"/>
      <c r="G83" s="7"/>
      <c r="H83" s="7"/>
      <c r="I83" s="7"/>
      <c r="J83" s="7"/>
      <c r="K83" s="7"/>
      <c r="L83" s="7"/>
      <c r="M83" s="7"/>
      <c r="N83" s="7"/>
      <c r="O83" s="7"/>
      <c r="P83" s="7"/>
      <c r="Q83" s="7"/>
      <c r="R83" s="7"/>
      <c r="S83" s="7"/>
      <c r="T83" s="7"/>
      <c r="U83" s="7"/>
      <c r="V83" s="7"/>
      <c r="W83" s="7"/>
      <c r="X83" s="7"/>
      <c r="Y83" s="7"/>
    </row>
    <row r="84" spans="1:25">
      <c r="A84" s="7"/>
      <c r="B84" s="7"/>
      <c r="C84" s="7"/>
      <c r="D84" s="7"/>
      <c r="E84" s="7"/>
      <c r="F84" s="7"/>
      <c r="G84" s="7"/>
      <c r="H84" s="7"/>
      <c r="I84" s="7"/>
      <c r="J84" s="7"/>
      <c r="K84" s="7"/>
      <c r="L84" s="7"/>
      <c r="M84" s="7"/>
      <c r="N84" s="7"/>
      <c r="O84" s="7"/>
      <c r="P84" s="7"/>
      <c r="Q84" s="7"/>
      <c r="R84" s="7"/>
      <c r="S84" s="7"/>
      <c r="T84" s="7"/>
      <c r="U84" s="7"/>
      <c r="V84" s="7"/>
      <c r="W84" s="7"/>
      <c r="X84" s="7"/>
      <c r="Y84" s="7"/>
    </row>
    <row r="85" spans="1:25">
      <c r="A85" s="7"/>
      <c r="B85" s="7"/>
      <c r="C85" s="7"/>
      <c r="D85" s="7"/>
      <c r="E85" s="7"/>
      <c r="F85" s="7"/>
      <c r="G85" s="7"/>
      <c r="H85" s="7"/>
      <c r="I85" s="7"/>
      <c r="J85" s="7"/>
      <c r="K85" s="7"/>
      <c r="L85" s="7"/>
      <c r="M85" s="7"/>
      <c r="N85" s="7"/>
      <c r="O85" s="7"/>
      <c r="P85" s="7"/>
      <c r="Q85" s="7"/>
      <c r="R85" s="7"/>
      <c r="S85" s="7"/>
      <c r="T85" s="7"/>
      <c r="U85" s="7"/>
      <c r="V85" s="7"/>
      <c r="W85" s="7"/>
      <c r="X85" s="7"/>
      <c r="Y85" s="7"/>
    </row>
    <row r="86" spans="1:25">
      <c r="A86" s="7"/>
      <c r="B86" s="7"/>
      <c r="C86" s="7"/>
      <c r="D86" s="7"/>
      <c r="E86" s="7"/>
      <c r="F86" s="7"/>
      <c r="G86" s="7"/>
      <c r="H86" s="7"/>
      <c r="I86" s="7"/>
      <c r="J86" s="7"/>
      <c r="K86" s="7"/>
      <c r="L86" s="7"/>
      <c r="M86" s="7"/>
      <c r="N86" s="7"/>
      <c r="O86" s="7"/>
      <c r="P86" s="7"/>
      <c r="Q86" s="7"/>
      <c r="R86" s="7"/>
      <c r="S86" s="7"/>
      <c r="T86" s="7"/>
      <c r="U86" s="7"/>
      <c r="V86" s="7"/>
      <c r="W86" s="7"/>
      <c r="X86" s="7"/>
      <c r="Y86" s="7"/>
    </row>
    <row r="87" spans="1:25">
      <c r="A87" s="7"/>
      <c r="B87" s="7"/>
      <c r="C87" s="7"/>
      <c r="D87" s="7"/>
      <c r="E87" s="7"/>
      <c r="F87" s="7"/>
      <c r="G87" s="7"/>
      <c r="H87" s="7"/>
      <c r="I87" s="7"/>
      <c r="J87" s="7"/>
      <c r="K87" s="7"/>
      <c r="L87" s="7"/>
      <c r="M87" s="7"/>
      <c r="N87" s="7"/>
      <c r="O87" s="7"/>
      <c r="P87" s="7"/>
      <c r="Q87" s="7"/>
      <c r="R87" s="7"/>
      <c r="S87" s="7"/>
      <c r="T87" s="7"/>
      <c r="U87" s="7"/>
      <c r="V87" s="7"/>
      <c r="W87" s="7"/>
      <c r="X87" s="7"/>
      <c r="Y87" s="7"/>
    </row>
    <row r="88" spans="1:25">
      <c r="A88" s="7"/>
      <c r="B88" s="7"/>
      <c r="C88" s="7"/>
      <c r="D88" s="7"/>
      <c r="E88" s="7"/>
      <c r="F88" s="7"/>
      <c r="G88" s="7"/>
      <c r="H88" s="7"/>
      <c r="I88" s="7"/>
      <c r="J88" s="7"/>
      <c r="K88" s="7"/>
      <c r="L88" s="7"/>
      <c r="M88" s="7"/>
      <c r="N88" s="7"/>
      <c r="O88" s="7"/>
      <c r="P88" s="7"/>
      <c r="Q88" s="7"/>
      <c r="R88" s="7"/>
      <c r="S88" s="7"/>
      <c r="T88" s="7"/>
      <c r="U88" s="7"/>
      <c r="V88" s="7"/>
      <c r="W88" s="7"/>
      <c r="X88" s="7"/>
      <c r="Y88" s="7"/>
    </row>
    <row r="89" spans="1:25">
      <c r="A89" s="7"/>
      <c r="B89" s="7"/>
      <c r="C89" s="7"/>
      <c r="D89" s="7"/>
      <c r="E89" s="7"/>
      <c r="F89" s="7"/>
      <c r="G89" s="7"/>
      <c r="H89" s="7"/>
      <c r="I89" s="7"/>
      <c r="J89" s="7"/>
      <c r="K89" s="7"/>
      <c r="L89" s="7"/>
      <c r="M89" s="7"/>
      <c r="N89" s="7"/>
      <c r="O89" s="7"/>
      <c r="P89" s="7"/>
      <c r="Q89" s="7"/>
      <c r="R89" s="7"/>
      <c r="S89" s="7"/>
      <c r="T89" s="7"/>
      <c r="U89" s="7"/>
      <c r="V89" s="7"/>
      <c r="W89" s="7"/>
      <c r="X89" s="7"/>
      <c r="Y89" s="7"/>
    </row>
    <row r="90" spans="1:25">
      <c r="A90" s="7"/>
      <c r="B90" s="7"/>
      <c r="C90" s="7"/>
      <c r="D90" s="7"/>
      <c r="E90" s="7"/>
      <c r="F90" s="7"/>
      <c r="G90" s="7"/>
      <c r="H90" s="7"/>
      <c r="I90" s="7"/>
      <c r="J90" s="7"/>
      <c r="K90" s="7"/>
      <c r="L90" s="7"/>
      <c r="M90" s="7"/>
      <c r="N90" s="7"/>
      <c r="O90" s="7"/>
      <c r="P90" s="7"/>
      <c r="Q90" s="7"/>
      <c r="R90" s="7"/>
      <c r="S90" s="7"/>
      <c r="T90" s="7"/>
      <c r="U90" s="7"/>
      <c r="V90" s="7"/>
      <c r="W90" s="7"/>
      <c r="X90" s="7"/>
      <c r="Y90" s="7"/>
    </row>
    <row r="91" spans="1:25">
      <c r="A91" s="7"/>
      <c r="B91" s="7"/>
      <c r="C91" s="7"/>
      <c r="D91" s="7"/>
      <c r="E91" s="7"/>
      <c r="F91" s="7"/>
      <c r="G91" s="7"/>
      <c r="H91" s="7"/>
      <c r="I91" s="7"/>
      <c r="J91" s="7"/>
      <c r="K91" s="7"/>
      <c r="L91" s="7"/>
      <c r="M91" s="7"/>
      <c r="N91" s="7"/>
      <c r="O91" s="7"/>
      <c r="P91" s="7"/>
      <c r="Q91" s="7"/>
      <c r="R91" s="7"/>
      <c r="S91" s="7"/>
      <c r="T91" s="7"/>
      <c r="U91" s="7"/>
      <c r="V91" s="7"/>
      <c r="W91" s="7"/>
      <c r="X91" s="7"/>
      <c r="Y91" s="7"/>
    </row>
    <row r="92" spans="1:25">
      <c r="A92" s="7"/>
      <c r="B92" s="7"/>
      <c r="C92" s="7"/>
      <c r="D92" s="7"/>
      <c r="E92" s="7"/>
      <c r="F92" s="7"/>
      <c r="G92" s="7"/>
      <c r="H92" s="7"/>
      <c r="I92" s="7"/>
      <c r="J92" s="7"/>
      <c r="K92" s="7"/>
      <c r="L92" s="7"/>
      <c r="M92" s="7"/>
      <c r="N92" s="7"/>
      <c r="O92" s="7"/>
      <c r="P92" s="7"/>
      <c r="Q92" s="7"/>
      <c r="R92" s="7"/>
      <c r="S92" s="7"/>
      <c r="T92" s="7"/>
      <c r="U92" s="7"/>
      <c r="V92" s="7"/>
      <c r="W92" s="7"/>
      <c r="X92" s="7"/>
      <c r="Y92" s="7"/>
    </row>
    <row r="93" spans="1:25">
      <c r="A93" s="7"/>
      <c r="B93" s="7"/>
      <c r="C93" s="7"/>
      <c r="D93" s="7"/>
      <c r="E93" s="7"/>
      <c r="F93" s="7"/>
      <c r="G93" s="7"/>
      <c r="H93" s="7"/>
      <c r="I93" s="7"/>
      <c r="J93" s="7"/>
      <c r="K93" s="7"/>
      <c r="L93" s="7"/>
      <c r="M93" s="7"/>
      <c r="N93" s="7"/>
      <c r="O93" s="7"/>
      <c r="P93" s="7"/>
      <c r="Q93" s="7"/>
      <c r="R93" s="7"/>
      <c r="S93" s="7"/>
      <c r="T93" s="7"/>
      <c r="U93" s="7"/>
      <c r="V93" s="7"/>
      <c r="W93" s="7"/>
      <c r="X93" s="7"/>
      <c r="Y93" s="7"/>
    </row>
    <row r="94" spans="1:25">
      <c r="A94" s="7"/>
      <c r="B94" s="7"/>
      <c r="C94" s="7"/>
      <c r="D94" s="7"/>
      <c r="E94" s="7"/>
      <c r="F94" s="7"/>
      <c r="G94" s="7"/>
      <c r="H94" s="7"/>
      <c r="I94" s="7"/>
      <c r="J94" s="7"/>
      <c r="K94" s="7"/>
      <c r="L94" s="7"/>
      <c r="M94" s="7"/>
      <c r="N94" s="7"/>
      <c r="O94" s="7"/>
      <c r="P94" s="7"/>
      <c r="Q94" s="7"/>
      <c r="R94" s="7"/>
      <c r="S94" s="7"/>
      <c r="T94" s="7"/>
      <c r="U94" s="7"/>
      <c r="V94" s="7"/>
      <c r="W94" s="7"/>
      <c r="X94" s="7"/>
      <c r="Y94" s="7"/>
    </row>
    <row r="95" spans="1:25">
      <c r="A95" s="7"/>
      <c r="B95" s="7"/>
      <c r="C95" s="7"/>
      <c r="D95" s="7"/>
      <c r="E95" s="7"/>
      <c r="F95" s="7"/>
      <c r="G95" s="7"/>
      <c r="H95" s="7"/>
      <c r="I95" s="7"/>
      <c r="J95" s="7"/>
      <c r="K95" s="7"/>
      <c r="L95" s="7"/>
      <c r="M95" s="7"/>
      <c r="N95" s="7"/>
      <c r="O95" s="7"/>
      <c r="P95" s="7"/>
      <c r="Q95" s="7"/>
      <c r="R95" s="7"/>
      <c r="S95" s="7"/>
      <c r="T95" s="7"/>
      <c r="U95" s="7"/>
      <c r="V95" s="7"/>
      <c r="W95" s="7"/>
      <c r="X95" s="7"/>
      <c r="Y95" s="7"/>
    </row>
    <row r="96" spans="1:25">
      <c r="A96" s="7"/>
      <c r="B96" s="7"/>
      <c r="C96" s="7"/>
      <c r="D96" s="7"/>
      <c r="E96" s="7"/>
      <c r="F96" s="7"/>
      <c r="G96" s="7"/>
      <c r="H96" s="7"/>
      <c r="I96" s="7"/>
      <c r="J96" s="7"/>
      <c r="K96" s="7"/>
      <c r="L96" s="7"/>
      <c r="M96" s="7"/>
      <c r="N96" s="7"/>
      <c r="O96" s="7"/>
      <c r="P96" s="7"/>
      <c r="Q96" s="7"/>
      <c r="R96" s="7"/>
      <c r="S96" s="7"/>
      <c r="T96" s="7"/>
      <c r="U96" s="7"/>
      <c r="V96" s="7"/>
      <c r="W96" s="7"/>
      <c r="X96" s="7"/>
      <c r="Y96" s="7"/>
    </row>
    <row r="97" spans="1:25">
      <c r="A97" s="7"/>
      <c r="B97" s="7"/>
      <c r="C97" s="7"/>
      <c r="D97" s="7"/>
      <c r="E97" s="7"/>
      <c r="F97" s="7"/>
      <c r="G97" s="7"/>
      <c r="H97" s="7"/>
      <c r="I97" s="7"/>
      <c r="J97" s="7"/>
      <c r="K97" s="7"/>
      <c r="L97" s="7"/>
      <c r="M97" s="7"/>
      <c r="N97" s="7"/>
      <c r="O97" s="7"/>
      <c r="P97" s="7"/>
      <c r="Q97" s="7"/>
      <c r="R97" s="7"/>
      <c r="S97" s="7"/>
      <c r="T97" s="7"/>
      <c r="U97" s="7"/>
      <c r="V97" s="7"/>
      <c r="W97" s="7"/>
      <c r="X97" s="7"/>
      <c r="Y97" s="7"/>
    </row>
    <row r="98" spans="1:25">
      <c r="A98" s="7"/>
      <c r="B98" s="7"/>
      <c r="C98" s="7"/>
      <c r="D98" s="7"/>
      <c r="E98" s="7"/>
      <c r="F98" s="7"/>
      <c r="G98" s="7"/>
      <c r="H98" s="7"/>
      <c r="I98" s="7"/>
      <c r="J98" s="7"/>
      <c r="K98" s="7"/>
      <c r="L98" s="7"/>
      <c r="M98" s="7"/>
      <c r="N98" s="7"/>
      <c r="O98" s="7"/>
      <c r="P98" s="7"/>
      <c r="Q98" s="7"/>
      <c r="R98" s="7"/>
      <c r="S98" s="7"/>
      <c r="T98" s="7"/>
      <c r="U98" s="7"/>
      <c r="V98" s="7"/>
      <c r="W98" s="7"/>
      <c r="X98" s="7"/>
      <c r="Y98" s="7"/>
    </row>
    <row r="99" spans="1:25">
      <c r="A99" s="7"/>
      <c r="B99" s="7"/>
      <c r="C99" s="7"/>
      <c r="D99" s="7"/>
      <c r="E99" s="7"/>
      <c r="F99" s="7"/>
      <c r="G99" s="7"/>
      <c r="H99" s="7"/>
      <c r="I99" s="7"/>
      <c r="J99" s="7"/>
      <c r="K99" s="7"/>
      <c r="L99" s="7"/>
      <c r="M99" s="7"/>
      <c r="N99" s="7"/>
      <c r="O99" s="7"/>
      <c r="P99" s="7"/>
      <c r="Q99" s="7"/>
      <c r="R99" s="7"/>
      <c r="S99" s="7"/>
      <c r="T99" s="7"/>
      <c r="U99" s="7"/>
      <c r="V99" s="7"/>
      <c r="W99" s="7"/>
      <c r="X99" s="7"/>
      <c r="Y99" s="7"/>
    </row>
    <row r="100" spans="1:25">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spans="1:25">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spans="1:25">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spans="1:25">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spans="1:25">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spans="1:25">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spans="1:25">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spans="1:25">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spans="1:25">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spans="1:25">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spans="1:25">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spans="1:25">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spans="1:25">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spans="1:25">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spans="1:25">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spans="1:25">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spans="1:25">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spans="1:25">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spans="1:25">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spans="1:25">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spans="1:25">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spans="1:25">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spans="1:25">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spans="1:25">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spans="1:25">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spans="1:25">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spans="1:25">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spans="1:25">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spans="1:25">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spans="1:25">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spans="1:25">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spans="1:25">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spans="1:25">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spans="1:25">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spans="1:25">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spans="1:25">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spans="1:25">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spans="1:25">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spans="1:25">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spans="1:25">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spans="1:25">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spans="1:25">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spans="1:25">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spans="1:25">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spans="1:25">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spans="1:25">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spans="1:25">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spans="1:25">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spans="1:25">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spans="1:25">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spans="1:25">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spans="1:25">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spans="1:25">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spans="1:25">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spans="1:25">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spans="1:25">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spans="1:25">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spans="1:25">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spans="1:25">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spans="1:25">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spans="1:25">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spans="1:25">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spans="1:25">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spans="1:25">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spans="1:25">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spans="1:25">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spans="1:25">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spans="1:25">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spans="1:25">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spans="1:25">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spans="1:25">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spans="1:25">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spans="1:25">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spans="1:25">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spans="1:25">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spans="1:25">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spans="1:25">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spans="1:25">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spans="1:25">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spans="1:25">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spans="1:25">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spans="1:25">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spans="1:25">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spans="1:25">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spans="1:25">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spans="1:25">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spans="1:25">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spans="1:25">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spans="1:25">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spans="1:25">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spans="1:25">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spans="1:25">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spans="1:25">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spans="1:25">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spans="1:25">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spans="1:25">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spans="1:25">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spans="1:25">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spans="1:25">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spans="1:25">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spans="1:25">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sheetData>
  <dataValidations count="1">
    <dataValidation type="list" sqref="K2:K11" xr:uid="{00000000-0002-0000-0500-000002000000}">
      <formula1>"Open,In Progress,Fixed,Closed,Cannot Reproduce,Not a Bug"</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xr:uid="{00000000-0002-0000-0500-000000000000}">
          <x14:formula1>
            <xm:f>Data!$C$2:$C$6</xm:f>
          </x14:formula1>
          <xm:sqref>C2:C11</xm:sqref>
        </x14:dataValidation>
        <x14:dataValidation type="list" xr:uid="{00000000-0002-0000-0500-000001000000}">
          <x14:formula1>
            <xm:f>Data!$B$2:$B$4</xm:f>
          </x14:formula1>
          <xm:sqref>D2:D11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200"/>
  <sheetViews>
    <sheetView zoomScale="85" zoomScaleNormal="85" workbookViewId="0">
      <selection activeCell="C8" sqref="C8"/>
    </sheetView>
  </sheetViews>
  <sheetFormatPr defaultRowHeight="14.25"/>
  <cols>
    <col min="1" max="1" width="10" customWidth="1"/>
    <col min="2" max="2" width="18" customWidth="1"/>
    <col min="3" max="3" width="52" customWidth="1"/>
    <col min="4" max="4" width="24" customWidth="1"/>
    <col min="5" max="5" width="12" customWidth="1"/>
    <col min="6" max="6" width="13" customWidth="1"/>
    <col min="7" max="7" width="32" customWidth="1"/>
  </cols>
  <sheetData>
    <row r="1" spans="1:26" ht="27.95" customHeight="1">
      <c r="A1" s="5" t="s">
        <v>53</v>
      </c>
      <c r="B1" s="5" t="s">
        <v>303</v>
      </c>
      <c r="C1" s="5" t="s">
        <v>304</v>
      </c>
      <c r="D1" s="5" t="s">
        <v>305</v>
      </c>
      <c r="E1" s="5" t="s">
        <v>1</v>
      </c>
      <c r="F1" s="5" t="s">
        <v>0</v>
      </c>
      <c r="G1" s="5" t="s">
        <v>56</v>
      </c>
      <c r="H1" s="7"/>
      <c r="I1" s="7"/>
      <c r="J1" s="7"/>
      <c r="K1" s="7"/>
      <c r="L1" s="7"/>
      <c r="M1" s="7"/>
      <c r="N1" s="7"/>
      <c r="O1" s="7"/>
      <c r="P1" s="7"/>
      <c r="Q1" s="7"/>
      <c r="R1" s="7"/>
      <c r="S1" s="7"/>
      <c r="T1" s="7"/>
      <c r="U1" s="7"/>
      <c r="V1" s="7"/>
      <c r="W1" s="7"/>
      <c r="X1" s="7"/>
      <c r="Y1" s="7"/>
      <c r="Z1" s="7"/>
    </row>
    <row r="2" spans="1:26">
      <c r="A2" s="6" t="s">
        <v>306</v>
      </c>
      <c r="B2" s="6" t="s">
        <v>7</v>
      </c>
      <c r="C2" s="6" t="s">
        <v>307</v>
      </c>
      <c r="D2" s="6" t="s">
        <v>308</v>
      </c>
      <c r="E2" s="6" t="s">
        <v>5</v>
      </c>
      <c r="F2" s="6" t="s">
        <v>4</v>
      </c>
      <c r="G2" s="6"/>
      <c r="H2" s="7"/>
      <c r="I2" s="7"/>
      <c r="J2" s="7"/>
      <c r="K2" s="7"/>
      <c r="L2" s="7"/>
      <c r="M2" s="7"/>
      <c r="N2" s="7"/>
      <c r="O2" s="7"/>
      <c r="P2" s="7"/>
      <c r="Q2" s="7"/>
      <c r="R2" s="7"/>
      <c r="S2" s="7"/>
      <c r="T2" s="7"/>
      <c r="U2" s="7"/>
      <c r="V2" s="7"/>
      <c r="W2" s="7"/>
      <c r="X2" s="7"/>
      <c r="Y2" s="7"/>
      <c r="Z2" s="7"/>
    </row>
    <row r="3" spans="1:26">
      <c r="A3" s="6" t="s">
        <v>309</v>
      </c>
      <c r="B3" s="6" t="s">
        <v>7</v>
      </c>
      <c r="C3" s="6" t="s">
        <v>310</v>
      </c>
      <c r="D3" s="6" t="s">
        <v>308</v>
      </c>
      <c r="E3" s="6" t="s">
        <v>5</v>
      </c>
      <c r="F3" s="6" t="s">
        <v>4</v>
      </c>
      <c r="G3" s="6"/>
      <c r="H3" s="7"/>
      <c r="I3" s="7"/>
      <c r="J3" s="7"/>
      <c r="K3" s="7"/>
      <c r="L3" s="7"/>
      <c r="M3" s="7"/>
      <c r="N3" s="7"/>
      <c r="O3" s="7"/>
      <c r="P3" s="7"/>
      <c r="Q3" s="7"/>
      <c r="R3" s="7"/>
      <c r="S3" s="7"/>
      <c r="T3" s="7"/>
      <c r="U3" s="7"/>
      <c r="V3" s="7"/>
      <c r="W3" s="7"/>
      <c r="X3" s="7"/>
      <c r="Y3" s="7"/>
      <c r="Z3" s="7"/>
    </row>
    <row r="4" spans="1:26">
      <c r="A4" s="6" t="s">
        <v>311</v>
      </c>
      <c r="B4" s="6" t="s">
        <v>10</v>
      </c>
      <c r="C4" s="6" t="s">
        <v>312</v>
      </c>
      <c r="D4" s="6" t="s">
        <v>308</v>
      </c>
      <c r="E4" s="6" t="s">
        <v>5</v>
      </c>
      <c r="F4" s="6" t="s">
        <v>4</v>
      </c>
      <c r="G4" s="6"/>
      <c r="H4" s="7"/>
      <c r="I4" s="7"/>
      <c r="J4" s="7"/>
      <c r="K4" s="7"/>
      <c r="L4" s="7"/>
      <c r="M4" s="7"/>
      <c r="N4" s="7"/>
      <c r="O4" s="7"/>
      <c r="P4" s="7"/>
      <c r="Q4" s="7"/>
      <c r="R4" s="7"/>
      <c r="S4" s="7"/>
      <c r="T4" s="7"/>
      <c r="U4" s="7"/>
      <c r="V4" s="7"/>
      <c r="W4" s="7"/>
      <c r="X4" s="7"/>
      <c r="Y4" s="7"/>
      <c r="Z4" s="7"/>
    </row>
    <row r="5" spans="1:26">
      <c r="A5" s="6" t="s">
        <v>313</v>
      </c>
      <c r="B5" s="6" t="s">
        <v>13</v>
      </c>
      <c r="C5" s="6" t="s">
        <v>314</v>
      </c>
      <c r="D5" s="6" t="s">
        <v>308</v>
      </c>
      <c r="E5" s="6" t="s">
        <v>5</v>
      </c>
      <c r="F5" s="6" t="s">
        <v>4</v>
      </c>
      <c r="G5" s="6"/>
      <c r="H5" s="7"/>
      <c r="I5" s="7"/>
      <c r="J5" s="7"/>
      <c r="K5" s="7"/>
      <c r="L5" s="7"/>
      <c r="M5" s="7"/>
      <c r="N5" s="7"/>
      <c r="O5" s="7"/>
      <c r="P5" s="7"/>
      <c r="Q5" s="7"/>
      <c r="R5" s="7"/>
      <c r="S5" s="7"/>
      <c r="T5" s="7"/>
      <c r="U5" s="7"/>
      <c r="V5" s="7"/>
      <c r="W5" s="7"/>
      <c r="X5" s="7"/>
      <c r="Y5" s="7"/>
      <c r="Z5" s="7"/>
    </row>
    <row r="6" spans="1:26">
      <c r="A6" s="6" t="s">
        <v>315</v>
      </c>
      <c r="B6" s="6" t="s">
        <v>15</v>
      </c>
      <c r="C6" s="6" t="s">
        <v>316</v>
      </c>
      <c r="D6" s="6" t="s">
        <v>308</v>
      </c>
      <c r="E6" s="6" t="s">
        <v>5</v>
      </c>
      <c r="F6" s="6" t="s">
        <v>4</v>
      </c>
      <c r="G6" s="6"/>
      <c r="H6" s="7"/>
      <c r="I6" s="7"/>
      <c r="J6" s="7"/>
      <c r="K6" s="7"/>
      <c r="L6" s="7"/>
      <c r="M6" s="7"/>
      <c r="N6" s="7"/>
      <c r="O6" s="7"/>
      <c r="P6" s="7"/>
      <c r="Q6" s="7"/>
      <c r="R6" s="7"/>
      <c r="S6" s="7"/>
      <c r="T6" s="7"/>
      <c r="U6" s="7"/>
      <c r="V6" s="7"/>
      <c r="W6" s="7"/>
      <c r="X6" s="7"/>
      <c r="Y6" s="7"/>
      <c r="Z6" s="7"/>
    </row>
    <row r="7" spans="1:26">
      <c r="A7" s="6" t="s">
        <v>317</v>
      </c>
      <c r="B7" s="6" t="s">
        <v>18</v>
      </c>
      <c r="C7" s="6" t="s">
        <v>318</v>
      </c>
      <c r="D7" s="6" t="s">
        <v>308</v>
      </c>
      <c r="E7" s="6" t="s">
        <v>5</v>
      </c>
      <c r="F7" s="6" t="s">
        <v>4</v>
      </c>
      <c r="G7" s="6"/>
      <c r="H7" s="7"/>
      <c r="I7" s="7"/>
      <c r="J7" s="7"/>
      <c r="K7" s="7"/>
      <c r="L7" s="7"/>
      <c r="M7" s="7"/>
      <c r="N7" s="7"/>
      <c r="O7" s="7"/>
      <c r="P7" s="7"/>
      <c r="Q7" s="7"/>
      <c r="R7" s="7"/>
      <c r="S7" s="7"/>
      <c r="T7" s="7"/>
      <c r="U7" s="7"/>
      <c r="V7" s="7"/>
      <c r="W7" s="7"/>
      <c r="X7" s="7"/>
      <c r="Y7" s="7"/>
      <c r="Z7" s="7"/>
    </row>
    <row r="8" spans="1:26">
      <c r="A8" s="6" t="s">
        <v>319</v>
      </c>
      <c r="B8" s="6" t="s">
        <v>19</v>
      </c>
      <c r="C8" s="6" t="s">
        <v>320</v>
      </c>
      <c r="D8" s="6" t="s">
        <v>308</v>
      </c>
      <c r="E8" s="6" t="s">
        <v>5</v>
      </c>
      <c r="F8" s="6" t="s">
        <v>4</v>
      </c>
      <c r="G8" s="6"/>
      <c r="H8" s="7"/>
      <c r="I8" s="7"/>
      <c r="J8" s="7"/>
      <c r="K8" s="7"/>
      <c r="L8" s="7"/>
      <c r="M8" s="7"/>
      <c r="N8" s="7"/>
      <c r="O8" s="7"/>
      <c r="P8" s="7"/>
      <c r="Q8" s="7"/>
      <c r="R8" s="7"/>
      <c r="S8" s="7"/>
      <c r="T8" s="7"/>
      <c r="U8" s="7"/>
      <c r="V8" s="7"/>
      <c r="W8" s="7"/>
      <c r="X8" s="7"/>
      <c r="Y8" s="7"/>
      <c r="Z8" s="7"/>
    </row>
    <row r="9" spans="1:26">
      <c r="A9" s="6" t="s">
        <v>321</v>
      </c>
      <c r="B9" s="6" t="s">
        <v>20</v>
      </c>
      <c r="C9" s="6" t="s">
        <v>322</v>
      </c>
      <c r="D9" s="6" t="s">
        <v>308</v>
      </c>
      <c r="E9" s="6" t="s">
        <v>9</v>
      </c>
      <c r="F9" s="6" t="s">
        <v>4</v>
      </c>
      <c r="G9" s="6"/>
      <c r="H9" s="7"/>
      <c r="I9" s="7"/>
      <c r="J9" s="7"/>
      <c r="K9" s="7"/>
      <c r="L9" s="7"/>
      <c r="M9" s="7"/>
      <c r="N9" s="7"/>
      <c r="O9" s="7"/>
      <c r="P9" s="7"/>
      <c r="Q9" s="7"/>
      <c r="R9" s="7"/>
      <c r="S9" s="7"/>
      <c r="T9" s="7"/>
      <c r="U9" s="7"/>
      <c r="V9" s="7"/>
      <c r="W9" s="7"/>
      <c r="X9" s="7"/>
      <c r="Y9" s="7"/>
      <c r="Z9" s="7"/>
    </row>
    <row r="10" spans="1:26">
      <c r="A10" s="6" t="s">
        <v>323</v>
      </c>
      <c r="B10" s="6" t="s">
        <v>21</v>
      </c>
      <c r="C10" s="6" t="s">
        <v>324</v>
      </c>
      <c r="D10" s="6" t="s">
        <v>308</v>
      </c>
      <c r="E10" s="6" t="s">
        <v>5</v>
      </c>
      <c r="F10" s="6" t="s">
        <v>4</v>
      </c>
      <c r="G10" s="6"/>
      <c r="H10" s="7"/>
      <c r="I10" s="7"/>
      <c r="J10" s="7"/>
      <c r="K10" s="7"/>
      <c r="L10" s="7"/>
      <c r="M10" s="7"/>
      <c r="N10" s="7"/>
      <c r="O10" s="7"/>
      <c r="P10" s="7"/>
      <c r="Q10" s="7"/>
      <c r="R10" s="7"/>
      <c r="S10" s="7"/>
      <c r="T10" s="7"/>
      <c r="U10" s="7"/>
      <c r="V10" s="7"/>
      <c r="W10" s="7"/>
      <c r="X10" s="7"/>
      <c r="Y10" s="7"/>
      <c r="Z10" s="7"/>
    </row>
    <row r="11" spans="1:26">
      <c r="A11" s="6" t="s">
        <v>325</v>
      </c>
      <c r="B11" s="6" t="s">
        <v>22</v>
      </c>
      <c r="C11" s="6" t="s">
        <v>326</v>
      </c>
      <c r="D11" s="6" t="s">
        <v>308</v>
      </c>
      <c r="E11" s="6" t="s">
        <v>5</v>
      </c>
      <c r="F11" s="6" t="s">
        <v>4</v>
      </c>
      <c r="G11" s="6"/>
      <c r="H11" s="7"/>
      <c r="I11" s="7"/>
      <c r="J11" s="7"/>
      <c r="K11" s="7"/>
      <c r="L11" s="7"/>
      <c r="M11" s="7"/>
      <c r="N11" s="7"/>
      <c r="O11" s="7"/>
      <c r="P11" s="7"/>
      <c r="Q11" s="7"/>
      <c r="R11" s="7"/>
      <c r="S11" s="7"/>
      <c r="T11" s="7"/>
      <c r="U11" s="7"/>
      <c r="V11" s="7"/>
      <c r="W11" s="7"/>
      <c r="X11" s="7"/>
      <c r="Y11" s="7"/>
      <c r="Z11" s="7"/>
    </row>
    <row r="12" spans="1:26">
      <c r="A12" s="6" t="s">
        <v>327</v>
      </c>
      <c r="B12" s="6" t="s">
        <v>22</v>
      </c>
      <c r="C12" s="6" t="s">
        <v>328</v>
      </c>
      <c r="D12" s="6" t="s">
        <v>308</v>
      </c>
      <c r="E12" s="6" t="s">
        <v>5</v>
      </c>
      <c r="F12" s="6" t="s">
        <v>4</v>
      </c>
      <c r="G12" s="6"/>
      <c r="H12" s="7"/>
      <c r="I12" s="7"/>
      <c r="J12" s="7"/>
      <c r="K12" s="7"/>
      <c r="L12" s="7"/>
      <c r="M12" s="7"/>
      <c r="N12" s="7"/>
      <c r="O12" s="7"/>
      <c r="P12" s="7"/>
      <c r="Q12" s="7"/>
      <c r="R12" s="7"/>
      <c r="S12" s="7"/>
      <c r="T12" s="7"/>
      <c r="U12" s="7"/>
      <c r="V12" s="7"/>
      <c r="W12" s="7"/>
      <c r="X12" s="7"/>
      <c r="Y12" s="7"/>
      <c r="Z12" s="7"/>
    </row>
    <row r="13" spans="1:26">
      <c r="A13" s="6" t="s">
        <v>329</v>
      </c>
      <c r="B13" s="6" t="s">
        <v>22</v>
      </c>
      <c r="C13" s="6" t="s">
        <v>330</v>
      </c>
      <c r="D13" s="6" t="s">
        <v>308</v>
      </c>
      <c r="E13" s="6" t="s">
        <v>5</v>
      </c>
      <c r="F13" s="6" t="s">
        <v>4</v>
      </c>
      <c r="G13" s="6"/>
      <c r="H13" s="7"/>
      <c r="I13" s="7"/>
      <c r="J13" s="7"/>
      <c r="K13" s="7"/>
      <c r="L13" s="7"/>
      <c r="M13" s="7"/>
      <c r="N13" s="7"/>
      <c r="O13" s="7"/>
      <c r="P13" s="7"/>
      <c r="Q13" s="7"/>
      <c r="R13" s="7"/>
      <c r="S13" s="7"/>
      <c r="T13" s="7"/>
      <c r="U13" s="7"/>
      <c r="V13" s="7"/>
      <c r="W13" s="7"/>
      <c r="X13" s="7"/>
      <c r="Y13" s="7"/>
      <c r="Z13" s="7"/>
    </row>
    <row r="14" spans="1:26">
      <c r="A14" s="6" t="s">
        <v>331</v>
      </c>
      <c r="B14" s="6" t="s">
        <v>23</v>
      </c>
      <c r="C14" s="6" t="s">
        <v>332</v>
      </c>
      <c r="D14" s="6" t="s">
        <v>308</v>
      </c>
      <c r="E14" s="6" t="s">
        <v>5</v>
      </c>
      <c r="F14" s="6" t="s">
        <v>4</v>
      </c>
      <c r="G14" s="6"/>
      <c r="H14" s="7"/>
      <c r="I14" s="7"/>
      <c r="J14" s="7"/>
      <c r="K14" s="7"/>
      <c r="L14" s="7"/>
      <c r="M14" s="7"/>
      <c r="N14" s="7"/>
      <c r="O14" s="7"/>
      <c r="P14" s="7"/>
      <c r="Q14" s="7"/>
      <c r="R14" s="7"/>
      <c r="S14" s="7"/>
      <c r="T14" s="7"/>
      <c r="U14" s="7"/>
      <c r="V14" s="7"/>
      <c r="W14" s="7"/>
      <c r="X14" s="7"/>
      <c r="Y14" s="7"/>
      <c r="Z14" s="7"/>
    </row>
    <row r="15" spans="1:26">
      <c r="A15" s="6" t="s">
        <v>333</v>
      </c>
      <c r="B15" s="6" t="s">
        <v>23</v>
      </c>
      <c r="C15" s="6" t="s">
        <v>334</v>
      </c>
      <c r="D15" s="6" t="s">
        <v>308</v>
      </c>
      <c r="E15" s="6" t="s">
        <v>5</v>
      </c>
      <c r="F15" s="6" t="s">
        <v>4</v>
      </c>
      <c r="G15" s="6"/>
      <c r="H15" s="7"/>
      <c r="I15" s="7"/>
      <c r="J15" s="7"/>
      <c r="K15" s="7"/>
      <c r="L15" s="7"/>
      <c r="M15" s="7"/>
      <c r="N15" s="7"/>
      <c r="O15" s="7"/>
      <c r="P15" s="7"/>
      <c r="Q15" s="7"/>
      <c r="R15" s="7"/>
      <c r="S15" s="7"/>
      <c r="T15" s="7"/>
      <c r="U15" s="7"/>
      <c r="V15" s="7"/>
      <c r="W15" s="7"/>
      <c r="X15" s="7"/>
      <c r="Y15" s="7"/>
      <c r="Z15" s="7"/>
    </row>
    <row r="16" spans="1:26">
      <c r="A16" s="6" t="s">
        <v>335</v>
      </c>
      <c r="B16" s="6" t="s">
        <v>23</v>
      </c>
      <c r="C16" s="6" t="s">
        <v>336</v>
      </c>
      <c r="D16" s="6" t="s">
        <v>308</v>
      </c>
      <c r="E16" s="6" t="s">
        <v>5</v>
      </c>
      <c r="F16" s="6" t="s">
        <v>4</v>
      </c>
      <c r="G16" s="6"/>
      <c r="H16" s="7"/>
      <c r="I16" s="7"/>
      <c r="J16" s="7"/>
      <c r="K16" s="7"/>
      <c r="L16" s="7"/>
      <c r="M16" s="7"/>
      <c r="N16" s="7"/>
      <c r="O16" s="7"/>
      <c r="P16" s="7"/>
      <c r="Q16" s="7"/>
      <c r="R16" s="7"/>
      <c r="S16" s="7"/>
      <c r="T16" s="7"/>
      <c r="U16" s="7"/>
      <c r="V16" s="7"/>
      <c r="W16" s="7"/>
      <c r="X16" s="7"/>
      <c r="Y16" s="7"/>
      <c r="Z16" s="7"/>
    </row>
    <row r="17" spans="1:26">
      <c r="A17" s="6" t="s">
        <v>337</v>
      </c>
      <c r="B17" s="6" t="s">
        <v>24</v>
      </c>
      <c r="C17" s="6" t="s">
        <v>338</v>
      </c>
      <c r="D17" s="6" t="s">
        <v>308</v>
      </c>
      <c r="E17" s="6" t="s">
        <v>9</v>
      </c>
      <c r="F17" s="6" t="s">
        <v>4</v>
      </c>
      <c r="G17" s="6"/>
      <c r="H17" s="7"/>
      <c r="I17" s="7"/>
      <c r="J17" s="7"/>
      <c r="K17" s="7"/>
      <c r="L17" s="7"/>
      <c r="M17" s="7"/>
      <c r="N17" s="7"/>
      <c r="O17" s="7"/>
      <c r="P17" s="7"/>
      <c r="Q17" s="7"/>
      <c r="R17" s="7"/>
      <c r="S17" s="7"/>
      <c r="T17" s="7"/>
      <c r="U17" s="7"/>
      <c r="V17" s="7"/>
      <c r="W17" s="7"/>
      <c r="X17" s="7"/>
      <c r="Y17" s="7"/>
      <c r="Z17" s="7"/>
    </row>
    <row r="18" spans="1:26">
      <c r="A18" s="6" t="s">
        <v>339</v>
      </c>
      <c r="B18" s="6" t="s">
        <v>340</v>
      </c>
      <c r="C18" s="6" t="s">
        <v>341</v>
      </c>
      <c r="D18" s="6" t="s">
        <v>308</v>
      </c>
      <c r="E18" s="6" t="s">
        <v>9</v>
      </c>
      <c r="F18" s="6" t="s">
        <v>4</v>
      </c>
      <c r="G18" s="6"/>
      <c r="H18" s="7"/>
      <c r="I18" s="7"/>
      <c r="J18" s="7"/>
      <c r="K18" s="7"/>
      <c r="L18" s="7"/>
      <c r="M18" s="7"/>
      <c r="N18" s="7"/>
      <c r="O18" s="7"/>
      <c r="P18" s="7"/>
      <c r="Q18" s="7"/>
      <c r="R18" s="7"/>
      <c r="S18" s="7"/>
      <c r="T18" s="7"/>
      <c r="U18" s="7"/>
      <c r="V18" s="7"/>
      <c r="W18" s="7"/>
      <c r="X18" s="7"/>
      <c r="Y18" s="7"/>
      <c r="Z18" s="7"/>
    </row>
    <row r="19" spans="1:26">
      <c r="A19" s="6" t="s">
        <v>342</v>
      </c>
      <c r="B19" s="6" t="s">
        <v>25</v>
      </c>
      <c r="C19" s="6" t="s">
        <v>343</v>
      </c>
      <c r="D19" s="6" t="s">
        <v>308</v>
      </c>
      <c r="E19" s="6" t="s">
        <v>5</v>
      </c>
      <c r="F19" s="6" t="s">
        <v>4</v>
      </c>
      <c r="G19" s="6"/>
      <c r="H19" s="7"/>
      <c r="I19" s="7"/>
      <c r="J19" s="7"/>
      <c r="K19" s="7"/>
      <c r="L19" s="7"/>
      <c r="M19" s="7"/>
      <c r="N19" s="7"/>
      <c r="O19" s="7"/>
      <c r="P19" s="7"/>
      <c r="Q19" s="7"/>
      <c r="R19" s="7"/>
      <c r="S19" s="7"/>
      <c r="T19" s="7"/>
      <c r="U19" s="7"/>
      <c r="V19" s="7"/>
      <c r="W19" s="7"/>
      <c r="X19" s="7"/>
      <c r="Y19" s="7"/>
      <c r="Z19" s="7"/>
    </row>
    <row r="20" spans="1:26">
      <c r="A20" s="6" t="s">
        <v>344</v>
      </c>
      <c r="B20" s="6" t="s">
        <v>27</v>
      </c>
      <c r="C20" s="6" t="s">
        <v>345</v>
      </c>
      <c r="D20" s="6" t="s">
        <v>346</v>
      </c>
      <c r="E20" s="6" t="s">
        <v>9</v>
      </c>
      <c r="F20" s="6" t="s">
        <v>4</v>
      </c>
      <c r="G20" s="6"/>
      <c r="H20" s="7"/>
      <c r="I20" s="7"/>
      <c r="J20" s="7"/>
      <c r="K20" s="7"/>
      <c r="L20" s="7"/>
      <c r="M20" s="7"/>
      <c r="N20" s="7"/>
      <c r="O20" s="7"/>
      <c r="P20" s="7"/>
      <c r="Q20" s="7"/>
      <c r="R20" s="7"/>
      <c r="S20" s="7"/>
      <c r="T20" s="7"/>
      <c r="U20" s="7"/>
      <c r="V20" s="7"/>
      <c r="W20" s="7"/>
      <c r="X20" s="7"/>
      <c r="Y20" s="7"/>
      <c r="Z20" s="7"/>
    </row>
    <row r="21" spans="1:26">
      <c r="A21" s="6" t="s">
        <v>347</v>
      </c>
      <c r="B21" s="6" t="s">
        <v>28</v>
      </c>
      <c r="C21" s="6" t="s">
        <v>348</v>
      </c>
      <c r="D21" s="6" t="s">
        <v>308</v>
      </c>
      <c r="E21" s="6" t="s">
        <v>5</v>
      </c>
      <c r="F21" s="6" t="s">
        <v>4</v>
      </c>
      <c r="G21" s="6"/>
      <c r="H21" s="7"/>
      <c r="I21" s="7"/>
      <c r="J21" s="7"/>
      <c r="K21" s="7"/>
      <c r="L21" s="7"/>
      <c r="M21" s="7"/>
      <c r="N21" s="7"/>
      <c r="O21" s="7"/>
      <c r="P21" s="7"/>
      <c r="Q21" s="7"/>
      <c r="R21" s="7"/>
      <c r="S21" s="7"/>
      <c r="T21" s="7"/>
      <c r="U21" s="7"/>
      <c r="V21" s="7"/>
      <c r="W21" s="7"/>
      <c r="X21" s="7"/>
      <c r="Y21" s="7"/>
      <c r="Z21" s="7"/>
    </row>
    <row r="22" spans="1:26">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xr:uid="{00000000-0002-0000-0600-000000000000}">
          <x14:formula1>
            <xm:f>Data!$B$2:$B$4</xm:f>
          </x14:formula1>
          <xm:sqref>E2:E21</xm:sqref>
        </x14:dataValidation>
        <x14:dataValidation type="list" xr:uid="{00000000-0002-0000-0600-000001000000}">
          <x14:formula1>
            <xm:f>Data!$A$2:$A$6</xm:f>
          </x14:formula1>
          <xm:sqref>F2:F21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3"/>
  <sheetViews>
    <sheetView workbookViewId="0">
      <selection activeCell="D27" sqref="D27"/>
    </sheetView>
  </sheetViews>
  <sheetFormatPr defaultRowHeight="14.25"/>
  <cols>
    <col min="1" max="1" width="24" customWidth="1"/>
    <col min="2" max="5" width="18" customWidth="1"/>
    <col min="6" max="6" width="45" customWidth="1"/>
  </cols>
  <sheetData>
    <row r="1" spans="1:6" ht="20.25">
      <c r="A1" s="13" t="s">
        <v>349</v>
      </c>
      <c r="B1" s="14"/>
      <c r="C1" s="14"/>
      <c r="D1" s="14"/>
      <c r="E1" s="14"/>
      <c r="F1" s="14"/>
    </row>
    <row r="3" spans="1:6" ht="43.5">
      <c r="A3" s="3" t="s">
        <v>350</v>
      </c>
      <c r="B3" s="2" t="s">
        <v>34</v>
      </c>
    </row>
    <row r="4" spans="1:6" ht="15">
      <c r="A4" s="3" t="s">
        <v>36</v>
      </c>
      <c r="B4" s="2" t="s">
        <v>37</v>
      </c>
    </row>
    <row r="5" spans="1:6" ht="51">
      <c r="A5" s="3" t="s">
        <v>351</v>
      </c>
      <c r="B5" s="12" t="s">
        <v>458</v>
      </c>
    </row>
    <row r="6" spans="1:6" ht="29.25">
      <c r="A6" s="3" t="s">
        <v>352</v>
      </c>
      <c r="B6" s="11" t="s">
        <v>459</v>
      </c>
    </row>
    <row r="7" spans="1:6" ht="57.75">
      <c r="A7" s="3" t="s">
        <v>55</v>
      </c>
      <c r="B7" s="2" t="s">
        <v>460</v>
      </c>
    </row>
    <row r="9" spans="1:6" ht="15">
      <c r="A9" s="1" t="s">
        <v>353</v>
      </c>
      <c r="B9" s="1" t="s">
        <v>30</v>
      </c>
      <c r="C9" s="1" t="s">
        <v>354</v>
      </c>
      <c r="D9" s="1" t="s">
        <v>355</v>
      </c>
      <c r="E9" s="1" t="s">
        <v>356</v>
      </c>
      <c r="F9" s="1" t="s">
        <v>56</v>
      </c>
    </row>
    <row r="10" spans="1:6">
      <c r="A10" t="s">
        <v>357</v>
      </c>
      <c r="B10">
        <f>COUNTA(Checklist!A2:A200)</f>
        <v>67</v>
      </c>
      <c r="C10">
        <f>COUNTA('Test Cases'!A2:A200)</f>
        <v>24</v>
      </c>
      <c r="D10">
        <f>COUNTA(Regression!A2:A200)</f>
        <v>20</v>
      </c>
      <c r="E10">
        <f>COUNTA('Bug Reports'!A2:A200)</f>
        <v>5</v>
      </c>
    </row>
    <row r="11" spans="1:6">
      <c r="A11" t="s">
        <v>8</v>
      </c>
      <c r="B11">
        <f>COUNTIF(Checklist!E2:E200,"Passed")</f>
        <v>60</v>
      </c>
      <c r="C11">
        <f>COUNTIF('Test Cases'!J2:J200,"Passed")</f>
        <v>19</v>
      </c>
      <c r="D11">
        <f>COUNTIF(Regression!F2:F200,"Passed")</f>
        <v>0</v>
      </c>
    </row>
    <row r="12" spans="1:6">
      <c r="A12" t="s">
        <v>11</v>
      </c>
      <c r="B12">
        <f>COUNTIF(Checklist!E2:E200,"Failed")</f>
        <v>6</v>
      </c>
      <c r="C12">
        <f>COUNTIF('Test Cases'!J2:J200,"Failed")</f>
        <v>5</v>
      </c>
      <c r="D12">
        <f>COUNTIF(Regression!F2:F200,"Failed")</f>
        <v>0</v>
      </c>
    </row>
    <row r="13" spans="1:6">
      <c r="A13" t="s">
        <v>14</v>
      </c>
      <c r="B13">
        <f>COUNTIF(Checklist!E2:E200,"Blocked")</f>
        <v>1</v>
      </c>
      <c r="C13">
        <f>COUNTIF('Test Cases'!J2:J200,"Blocked")</f>
        <v>0</v>
      </c>
      <c r="D13">
        <f>COUNTIF(Regression!F2:F200,"Blocked")</f>
        <v>0</v>
      </c>
    </row>
    <row r="14" spans="1:6">
      <c r="A14" t="s">
        <v>4</v>
      </c>
      <c r="B14">
        <f>COUNTIF(Checklist!E2:E200,"Not Run")</f>
        <v>0</v>
      </c>
      <c r="C14">
        <f>COUNTIF('Test Cases'!J2:J200,"Not Run")</f>
        <v>0</v>
      </c>
      <c r="D14">
        <f>COUNTIF(Regression!F2:F200,"Not Run")</f>
        <v>20</v>
      </c>
    </row>
    <row r="15" spans="1:6">
      <c r="A15" t="s">
        <v>358</v>
      </c>
      <c r="E15">
        <f>COUNTIF('Bug Reports'!K2:K200,"Open")</f>
        <v>5</v>
      </c>
    </row>
    <row r="16" spans="1:6">
      <c r="A16" t="s">
        <v>359</v>
      </c>
      <c r="E16">
        <f>COUNTIF('Bug Reports'!C2:C200,"Critical")+COUNTIF('Bug Reports'!C2:C200,"High")</f>
        <v>0</v>
      </c>
    </row>
    <row r="18" spans="1:6" ht="15">
      <c r="A18" s="1"/>
      <c r="B18" s="1"/>
      <c r="C18" s="1"/>
      <c r="D18" s="1"/>
      <c r="E18" s="1"/>
      <c r="F18" s="1"/>
    </row>
    <row r="19" spans="1:6">
      <c r="A19" s="15" t="s">
        <v>468</v>
      </c>
      <c r="B19" s="14"/>
      <c r="C19" s="14"/>
      <c r="D19" s="14"/>
      <c r="E19" s="14"/>
      <c r="F19" s="14"/>
    </row>
    <row r="20" spans="1:6">
      <c r="A20" s="14"/>
      <c r="B20" s="14"/>
      <c r="C20" s="14"/>
      <c r="D20" s="14"/>
      <c r="E20" s="14"/>
      <c r="F20" s="14"/>
    </row>
    <row r="21" spans="1:6">
      <c r="A21" s="14"/>
      <c r="B21" s="14"/>
      <c r="C21" s="14"/>
      <c r="D21" s="14"/>
      <c r="E21" s="14"/>
      <c r="F21" s="14"/>
    </row>
    <row r="22" spans="1:6">
      <c r="A22" s="14"/>
      <c r="B22" s="14"/>
      <c r="C22" s="14"/>
      <c r="D22" s="14"/>
      <c r="E22" s="14"/>
      <c r="F22" s="14"/>
    </row>
    <row r="23" spans="1:6">
      <c r="A23" s="14"/>
      <c r="B23" s="14"/>
      <c r="C23" s="14"/>
      <c r="D23" s="14"/>
      <c r="E23" s="14"/>
      <c r="F23" s="14"/>
    </row>
  </sheetData>
  <mergeCells count="2">
    <mergeCell ref="A1:F1"/>
    <mergeCell ref="A19:F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7</vt:i4>
      </vt:variant>
    </vt:vector>
  </HeadingPairs>
  <TitlesOfParts>
    <vt:vector size="7" baseType="lpstr">
      <vt:lpstr>Data</vt:lpstr>
      <vt:lpstr>Test Plan</vt:lpstr>
      <vt:lpstr>Checklist</vt:lpstr>
      <vt:lpstr>Test Cases</vt:lpstr>
      <vt:lpstr>Bug Reports</vt:lpstr>
      <vt:lpstr>Regression</vt:lpstr>
      <vt:lpstr>Test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Bohdan Mamedov</cp:lastModifiedBy>
  <dcterms:modified xsi:type="dcterms:W3CDTF">2026-07-07T07:29:17Z</dcterms:modified>
</cp:coreProperties>
</file>